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remis\Documents\2026\Marcha de Recaudación Julio\"/>
    </mc:Choice>
  </mc:AlternateContent>
  <bookViews>
    <workbookView xWindow="0" yWindow="0" windowWidth="28800" windowHeight="12180"/>
  </bookViews>
  <sheets>
    <sheet name="2026" sheetId="4" r:id="rId1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3" i="4" l="1"/>
  <c r="H18" i="4" l="1"/>
  <c r="H7" i="4" l="1"/>
  <c r="N7" i="4" s="1"/>
  <c r="P7" i="4" s="1"/>
  <c r="H8" i="4"/>
  <c r="N8" i="4" s="1"/>
  <c r="P8" i="4" s="1"/>
  <c r="H10" i="4"/>
  <c r="N10" i="4" s="1"/>
  <c r="P10" i="4" s="1"/>
  <c r="H11" i="4"/>
  <c r="N11" i="4" s="1"/>
  <c r="P11" i="4" s="1"/>
  <c r="H12" i="4"/>
  <c r="N12" i="4" s="1"/>
  <c r="P12" i="4" s="1"/>
  <c r="N13" i="4"/>
  <c r="P13" i="4" s="1"/>
  <c r="H14" i="4"/>
  <c r="N14" i="4" s="1"/>
  <c r="P14" i="4" s="1"/>
  <c r="H15" i="4"/>
  <c r="N15" i="4" s="1"/>
  <c r="H16" i="4"/>
  <c r="N16" i="4" s="1"/>
  <c r="H17" i="4"/>
  <c r="N18" i="4"/>
  <c r="P18" i="4" s="1"/>
  <c r="M19" i="4"/>
  <c r="L19" i="4"/>
  <c r="K19" i="4"/>
  <c r="I19" i="4"/>
  <c r="G19" i="4"/>
  <c r="F19" i="4"/>
  <c r="E19" i="4"/>
  <c r="D19" i="4"/>
  <c r="N9" i="4" l="1"/>
  <c r="P9" i="4" s="1"/>
  <c r="N17" i="4"/>
  <c r="P17" i="4" s="1"/>
  <c r="J19" i="4"/>
  <c r="O19" i="4"/>
  <c r="P15" i="4"/>
  <c r="H19" i="4"/>
  <c r="P16" i="4"/>
  <c r="P19" i="4" l="1"/>
  <c r="N19" i="4"/>
</calcChain>
</file>

<file path=xl/sharedStrings.xml><?xml version="1.0" encoding="utf-8"?>
<sst xmlns="http://schemas.openxmlformats.org/spreadsheetml/2006/main" count="23" uniqueCount="21">
  <si>
    <t xml:space="preserve"> </t>
  </si>
  <si>
    <t>INGRESOS BRUTOS</t>
  </si>
  <si>
    <t>TOTAL</t>
  </si>
  <si>
    <t>INMOBILIARIO</t>
  </si>
  <si>
    <t>AUTOM.</t>
  </si>
  <si>
    <t>SELLOS</t>
  </si>
  <si>
    <t>FOPROVI</t>
  </si>
  <si>
    <t>SUBTOTAL</t>
  </si>
  <si>
    <t>PLANES DE REG. DE DEUDAS</t>
  </si>
  <si>
    <t>EDIFICADO</t>
  </si>
  <si>
    <t>BALDIO</t>
  </si>
  <si>
    <t>RURAL</t>
  </si>
  <si>
    <t>MES</t>
  </si>
  <si>
    <t>AÑO</t>
  </si>
  <si>
    <t>RECURSOS TRIBUTARIOS DE ORIGEN PROVINCIAL</t>
  </si>
  <si>
    <t>TRANSMISIÓN GRATUITA DE BIENES</t>
  </si>
  <si>
    <t>CONTRIB. A LA ENERGIA  (6 ‰)</t>
  </si>
  <si>
    <t>RECAUDACIÓN PROVINCIAL</t>
  </si>
  <si>
    <r>
      <t>Fuente</t>
    </r>
    <r>
      <rPr>
        <sz val="8"/>
        <color theme="1" tint="0.249977111117893"/>
        <rFont val="Arial"/>
        <family val="2"/>
      </rPr>
      <t>: DPPT en base a datos suministrados por Arba.</t>
    </r>
  </si>
  <si>
    <t>PERÍODO</t>
  </si>
  <si>
    <r>
      <rPr>
        <sz val="12"/>
        <color rgb="FF00AEC3"/>
        <rFont val="Arial"/>
        <family val="2"/>
      </rPr>
      <t>2026 EN MILLONES DE PESOS</t>
    </r>
    <r>
      <rPr>
        <b/>
        <sz val="10"/>
        <color rgb="FF00AEC3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</si>
</sst>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d/m/yy;@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theme="1" tint="0.24997711111789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 tint="0.249977111117893"/>
      <name val="Arial"/>
      <family val="2"/>
    </font>
    <font>
      <sz val="12"/>
      <color rgb="FF00AEC3"/>
      <name val="Arial"/>
      <family val="2"/>
    </font>
    <font>
      <b/>
      <sz val="10"/>
      <color rgb="FF00AEC3"/>
      <name val="Arial"/>
      <family val="2"/>
    </font>
    <font>
      <b/>
      <sz val="8"/>
      <color theme="1" tint="0.249977111117893"/>
      <name val="Arial"/>
      <family val="2"/>
    </font>
    <font>
      <sz val="8"/>
      <color theme="1" tint="0.249977111117893"/>
      <name val="Arial"/>
      <family val="2"/>
    </font>
    <font>
      <b/>
      <sz val="1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AFC3"/>
        <bgColor indexed="64"/>
      </patternFill>
    </fill>
    <fill>
      <patternFill patternType="solid">
        <fgColor rgb="FF00AEC3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Border="1"/>
    <xf numFmtId="17" fontId="2" fillId="0" borderId="1" xfId="0" applyNumberFormat="1" applyFont="1" applyFill="1" applyBorder="1" applyProtection="1">
      <protection locked="0"/>
    </xf>
    <xf numFmtId="0" fontId="4" fillId="0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/>
    <xf numFmtId="3" fontId="0" fillId="0" borderId="0" xfId="0" applyNumberFormat="1"/>
    <xf numFmtId="0" fontId="1" fillId="0" borderId="0" xfId="0" applyFont="1" applyFill="1"/>
    <xf numFmtId="9" fontId="6" fillId="0" borderId="0" xfId="2" applyFont="1" applyFill="1" applyBorder="1" applyProtection="1"/>
    <xf numFmtId="0" fontId="7" fillId="0" borderId="0" xfId="0" applyFont="1"/>
    <xf numFmtId="0" fontId="5" fillId="0" borderId="0" xfId="0" applyFont="1"/>
    <xf numFmtId="0" fontId="1" fillId="0" borderId="0" xfId="0" applyFont="1" applyProtection="1">
      <protection locked="0"/>
    </xf>
    <xf numFmtId="3" fontId="1" fillId="0" borderId="0" xfId="0" applyNumberFormat="1" applyFont="1" applyFill="1"/>
    <xf numFmtId="0" fontId="10" fillId="4" borderId="8" xfId="0" applyFont="1" applyFill="1" applyBorder="1" applyAlignment="1">
      <alignment horizontal="centerContinuous" vertical="center"/>
    </xf>
    <xf numFmtId="0" fontId="11" fillId="4" borderId="13" xfId="0" applyFont="1" applyFill="1" applyBorder="1" applyAlignment="1">
      <alignment horizontal="centerContinuous" vertical="center"/>
    </xf>
    <xf numFmtId="0" fontId="10" fillId="4" borderId="9" xfId="0" applyFont="1" applyFill="1" applyBorder="1" applyAlignment="1">
      <alignment horizontal="centerContinuous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 applyFill="1" applyBorder="1"/>
    <xf numFmtId="9" fontId="9" fillId="0" borderId="0" xfId="2" applyFont="1" applyFill="1" applyBorder="1" applyProtection="1"/>
    <xf numFmtId="3" fontId="12" fillId="0" borderId="0" xfId="1" applyNumberFormat="1" applyFont="1" applyFill="1" applyBorder="1" applyProtection="1">
      <protection locked="0"/>
    </xf>
    <xf numFmtId="0" fontId="9" fillId="6" borderId="2" xfId="0" applyFont="1" applyFill="1" applyBorder="1" applyAlignment="1" applyProtection="1">
      <alignment horizontal="center"/>
      <protection locked="0"/>
    </xf>
    <xf numFmtId="0" fontId="12" fillId="6" borderId="4" xfId="0" applyFont="1" applyFill="1" applyBorder="1" applyAlignment="1" applyProtection="1">
      <alignment horizontal="center"/>
      <protection locked="0"/>
    </xf>
    <xf numFmtId="3" fontId="12" fillId="6" borderId="3" xfId="0" applyNumberFormat="1" applyFont="1" applyFill="1" applyBorder="1" applyProtection="1"/>
    <xf numFmtId="3" fontId="12" fillId="6" borderId="14" xfId="1" applyNumberFormat="1" applyFont="1" applyFill="1" applyBorder="1" applyProtection="1">
      <protection locked="0"/>
    </xf>
    <xf numFmtId="3" fontId="12" fillId="6" borderId="3" xfId="1" applyNumberFormat="1" applyFont="1" applyFill="1" applyBorder="1" applyProtection="1">
      <protection locked="0"/>
    </xf>
    <xf numFmtId="3" fontId="12" fillId="6" borderId="14" xfId="0" applyNumberFormat="1" applyFont="1" applyFill="1" applyBorder="1"/>
    <xf numFmtId="3" fontId="12" fillId="6" borderId="10" xfId="1" applyNumberFormat="1" applyFont="1" applyFill="1" applyBorder="1" applyProtection="1">
      <protection locked="0"/>
    </xf>
    <xf numFmtId="3" fontId="12" fillId="6" borderId="11" xfId="0" applyNumberFormat="1" applyFont="1" applyFill="1" applyBorder="1"/>
    <xf numFmtId="0" fontId="12" fillId="6" borderId="2" xfId="0" applyFont="1" applyFill="1" applyBorder="1" applyAlignment="1" applyProtection="1">
      <alignment horizontal="right"/>
      <protection locked="0"/>
    </xf>
    <xf numFmtId="3" fontId="12" fillId="6" borderId="15" xfId="0" applyNumberFormat="1" applyFont="1" applyFill="1" applyBorder="1"/>
    <xf numFmtId="3" fontId="12" fillId="6" borderId="16" xfId="0" applyNumberFormat="1" applyFont="1" applyFill="1" applyBorder="1"/>
    <xf numFmtId="3" fontId="12" fillId="6" borderId="17" xfId="0" applyNumberFormat="1" applyFont="1" applyFill="1" applyBorder="1"/>
    <xf numFmtId="3" fontId="12" fillId="6" borderId="18" xfId="1" applyNumberFormat="1" applyFont="1" applyFill="1" applyBorder="1" applyProtection="1">
      <protection locked="0"/>
    </xf>
    <xf numFmtId="0" fontId="2" fillId="5" borderId="0" xfId="0" applyFont="1" applyFill="1" applyBorder="1" applyProtection="1">
      <protection locked="0"/>
    </xf>
    <xf numFmtId="0" fontId="3" fillId="5" borderId="0" xfId="0" applyFont="1" applyFill="1" applyBorder="1" applyProtection="1">
      <protection locked="0"/>
    </xf>
    <xf numFmtId="0" fontId="4" fillId="5" borderId="0" xfId="0" applyFont="1" applyFill="1" applyBorder="1"/>
    <xf numFmtId="0" fontId="1" fillId="5" borderId="0" xfId="0" applyFont="1" applyFill="1" applyBorder="1"/>
    <xf numFmtId="165" fontId="2" fillId="5" borderId="0" xfId="0" applyNumberFormat="1" applyFont="1" applyFill="1" applyBorder="1"/>
    <xf numFmtId="0" fontId="17" fillId="5" borderId="0" xfId="0" applyFont="1" applyFill="1" applyBorder="1" applyAlignment="1" applyProtection="1">
      <alignment vertical="center"/>
      <protection locked="0"/>
    </xf>
    <xf numFmtId="3" fontId="9" fillId="2" borderId="12" xfId="1" applyNumberFormat="1" applyFont="1" applyFill="1" applyBorder="1" applyAlignment="1" applyProtection="1">
      <alignment vertical="center"/>
      <protection locked="0"/>
    </xf>
    <xf numFmtId="17" fontId="14" fillId="0" borderId="1" xfId="0" applyNumberFormat="1" applyFont="1" applyFill="1" applyBorder="1" applyProtection="1">
      <protection locked="0"/>
    </xf>
    <xf numFmtId="3" fontId="11" fillId="5" borderId="19" xfId="1" applyNumberFormat="1" applyFont="1" applyFill="1" applyBorder="1" applyAlignment="1" applyProtection="1">
      <alignment horizontal="center" vertical="center"/>
      <protection locked="0"/>
    </xf>
    <xf numFmtId="3" fontId="11" fillId="5" borderId="20" xfId="1" applyNumberFormat="1" applyFont="1" applyFill="1" applyBorder="1" applyAlignment="1" applyProtection="1">
      <alignment horizontal="center" vertical="center"/>
      <protection locked="0"/>
    </xf>
    <xf numFmtId="3" fontId="12" fillId="3" borderId="21" xfId="0" applyNumberFormat="1" applyFont="1" applyFill="1" applyBorder="1" applyAlignment="1" applyProtection="1">
      <alignment horizontal="center" vertical="center" wrapText="1"/>
      <protection locked="0"/>
    </xf>
    <xf numFmtId="3" fontId="12" fillId="3" borderId="22" xfId="0" applyNumberFormat="1" applyFont="1" applyFill="1" applyBorder="1" applyAlignment="1" applyProtection="1">
      <alignment horizontal="center" vertical="center" wrapText="1"/>
      <protection locked="0"/>
    </xf>
    <xf numFmtId="3" fontId="12" fillId="3" borderId="23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24" xfId="0" applyFont="1" applyFill="1" applyBorder="1" applyAlignment="1">
      <alignment horizontal="center" vertical="center" wrapText="1"/>
    </xf>
    <xf numFmtId="3" fontId="12" fillId="3" borderId="25" xfId="0" applyNumberFormat="1" applyFont="1" applyFill="1" applyBorder="1" applyAlignment="1" applyProtection="1">
      <alignment horizontal="center" vertical="center" wrapText="1"/>
      <protection locked="0"/>
    </xf>
    <xf numFmtId="3" fontId="12" fillId="3" borderId="26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27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3" fontId="12" fillId="3" borderId="23" xfId="0" applyNumberFormat="1" applyFont="1" applyFill="1" applyBorder="1" applyAlignment="1" applyProtection="1">
      <alignment vertical="center" wrapText="1"/>
      <protection locked="0"/>
    </xf>
    <xf numFmtId="3" fontId="12" fillId="3" borderId="24" xfId="0" applyNumberFormat="1" applyFont="1" applyFill="1" applyBorder="1" applyAlignment="1" applyProtection="1">
      <alignment vertical="center" wrapText="1"/>
      <protection locked="0"/>
    </xf>
    <xf numFmtId="3" fontId="12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23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3" fontId="12" fillId="3" borderId="29" xfId="0" applyNumberFormat="1" applyFont="1" applyFill="1" applyBorder="1" applyAlignment="1" applyProtection="1">
      <alignment horizontal="center" vertical="center" wrapText="1"/>
      <protection locked="0"/>
    </xf>
    <xf numFmtId="3" fontId="12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30" xfId="0" applyFont="1" applyFill="1" applyBorder="1" applyAlignment="1" applyProtection="1">
      <alignment horizontal="center" vertical="center" wrapText="1"/>
    </xf>
    <xf numFmtId="0" fontId="12" fillId="3" borderId="5" xfId="0" applyFont="1" applyFill="1" applyBorder="1" applyAlignment="1" applyProtection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>
      <selection activeCell="Q23" sqref="Q23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9.140625" customWidth="1"/>
    <col min="4" max="4" width="12.42578125" customWidth="1"/>
    <col min="5" max="5" width="11.42578125" bestFit="1" customWidth="1"/>
    <col min="6" max="6" width="9.140625" customWidth="1"/>
    <col min="7" max="8" width="10.140625" bestFit="1" customWidth="1"/>
    <col min="9" max="9" width="10.42578125" customWidth="1"/>
    <col min="10" max="10" width="13.7109375" customWidth="1"/>
    <col min="11" max="11" width="10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7" ht="12.75" customHeight="1" x14ac:dyDescent="0.2"/>
    <row r="2" spans="1:17" ht="12.75" customHeight="1" x14ac:dyDescent="0.2"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spans="1:17" ht="30.95" customHeight="1" x14ac:dyDescent="0.2">
      <c r="A3" t="s">
        <v>0</v>
      </c>
      <c r="B3" s="42" t="s">
        <v>14</v>
      </c>
      <c r="C3" s="37"/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  <c r="P3" s="41"/>
    </row>
    <row r="4" spans="1:17" ht="18" customHeight="1" thickBot="1" x14ac:dyDescent="0.25">
      <c r="B4" s="44" t="s">
        <v>20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7" ht="21.95" customHeight="1" x14ac:dyDescent="0.2">
      <c r="B5" s="14" t="s">
        <v>19</v>
      </c>
      <c r="C5" s="15"/>
      <c r="D5" s="62" t="s">
        <v>1</v>
      </c>
      <c r="E5" s="16" t="s">
        <v>3</v>
      </c>
      <c r="F5" s="16"/>
      <c r="G5" s="16"/>
      <c r="H5" s="16"/>
      <c r="I5" s="47" t="s">
        <v>4</v>
      </c>
      <c r="J5" s="49" t="s">
        <v>15</v>
      </c>
      <c r="K5" s="51" t="s">
        <v>5</v>
      </c>
      <c r="L5" s="55" t="s">
        <v>6</v>
      </c>
      <c r="M5" s="49" t="s">
        <v>16</v>
      </c>
      <c r="N5" s="58" t="s">
        <v>7</v>
      </c>
      <c r="O5" s="60" t="s">
        <v>8</v>
      </c>
      <c r="P5" s="53" t="s">
        <v>17</v>
      </c>
    </row>
    <row r="6" spans="1:17" ht="43.5" customHeight="1" thickBot="1" x14ac:dyDescent="0.25">
      <c r="B6" s="17" t="s">
        <v>13</v>
      </c>
      <c r="C6" s="18" t="s">
        <v>12</v>
      </c>
      <c r="D6" s="63"/>
      <c r="E6" s="19" t="s">
        <v>9</v>
      </c>
      <c r="F6" s="19" t="s">
        <v>10</v>
      </c>
      <c r="G6" s="19" t="s">
        <v>11</v>
      </c>
      <c r="H6" s="19" t="s">
        <v>2</v>
      </c>
      <c r="I6" s="48"/>
      <c r="J6" s="50"/>
      <c r="K6" s="52"/>
      <c r="L6" s="56"/>
      <c r="M6" s="57"/>
      <c r="N6" s="59"/>
      <c r="O6" s="61"/>
      <c r="P6" s="54"/>
    </row>
    <row r="7" spans="1:17" ht="12.75" customHeight="1" x14ac:dyDescent="0.2">
      <c r="B7" s="24">
        <v>2026</v>
      </c>
      <c r="C7" s="25">
        <v>1</v>
      </c>
      <c r="D7" s="26">
        <v>1086193.5263529173</v>
      </c>
      <c r="E7" s="26">
        <v>17645.783898079735</v>
      </c>
      <c r="F7" s="26">
        <v>1672.8690131256519</v>
      </c>
      <c r="G7" s="26">
        <v>7376.6686312152851</v>
      </c>
      <c r="H7" s="26">
        <f>SUM(E7:G7)</f>
        <v>26695.321542420672</v>
      </c>
      <c r="I7" s="27">
        <v>27384.1503797974</v>
      </c>
      <c r="J7" s="28">
        <v>1441.4275560000003</v>
      </c>
      <c r="K7" s="28">
        <v>142812.81268369997</v>
      </c>
      <c r="L7" s="28">
        <v>458.32507408124962</v>
      </c>
      <c r="M7" s="28">
        <v>5.0243135000000008</v>
      </c>
      <c r="N7" s="29">
        <f t="shared" ref="N7:N17" si="0">+M7+L7+K7+J7+I7+H7+D7</f>
        <v>1284990.5879024165</v>
      </c>
      <c r="O7" s="30">
        <v>29361.744917673132</v>
      </c>
      <c r="P7" s="31">
        <f>+O7+N7</f>
        <v>1314352.3328200895</v>
      </c>
      <c r="Q7" s="7"/>
    </row>
    <row r="8" spans="1:17" ht="12.75" customHeight="1" x14ac:dyDescent="0.2">
      <c r="B8" s="32"/>
      <c r="C8" s="25">
        <v>2</v>
      </c>
      <c r="D8" s="26">
        <v>961709.43477138923</v>
      </c>
      <c r="E8" s="26">
        <v>148995.5995021218</v>
      </c>
      <c r="F8" s="26">
        <v>24564.9388257666</v>
      </c>
      <c r="G8" s="26">
        <v>3526.1064562829247</v>
      </c>
      <c r="H8" s="26">
        <f>SUM(E8:G8)</f>
        <v>177086.64478417134</v>
      </c>
      <c r="I8" s="27">
        <v>18634.388665910759</v>
      </c>
      <c r="J8" s="28">
        <v>1282.9688128999999</v>
      </c>
      <c r="K8" s="28">
        <v>126193.6922753</v>
      </c>
      <c r="L8" s="28">
        <v>6052.7452441547184</v>
      </c>
      <c r="M8" s="28">
        <v>5.0624230999999984</v>
      </c>
      <c r="N8" s="29">
        <f t="shared" si="0"/>
        <v>1290964.9369769259</v>
      </c>
      <c r="O8" s="33">
        <v>28675.451759086402</v>
      </c>
      <c r="P8" s="31">
        <f t="shared" ref="P8:P18" si="1">+O8+N8</f>
        <v>1319640.3887360124</v>
      </c>
      <c r="Q8" s="7"/>
    </row>
    <row r="9" spans="1:17" ht="12.75" customHeight="1" x14ac:dyDescent="0.2">
      <c r="B9" s="32"/>
      <c r="C9" s="25">
        <v>3</v>
      </c>
      <c r="D9" s="26">
        <v>944164.53880939633</v>
      </c>
      <c r="E9" s="26">
        <v>47539.620886517099</v>
      </c>
      <c r="F9" s="26">
        <v>9274.9999570278815</v>
      </c>
      <c r="G9" s="26">
        <v>73076.761552324358</v>
      </c>
      <c r="H9" s="26">
        <v>129891.38239586934</v>
      </c>
      <c r="I9" s="28">
        <v>120929.4187674624</v>
      </c>
      <c r="J9" s="28">
        <v>5722.427057500001</v>
      </c>
      <c r="K9" s="28">
        <v>131929.67612239998</v>
      </c>
      <c r="L9" s="29">
        <v>1766.3028913687474</v>
      </c>
      <c r="M9" s="29">
        <v>4.8157558000000007</v>
      </c>
      <c r="N9" s="29">
        <f t="shared" si="0"/>
        <v>1334408.5617997968</v>
      </c>
      <c r="O9" s="34">
        <v>31988.835531377514</v>
      </c>
      <c r="P9" s="31">
        <f t="shared" si="1"/>
        <v>1366397.3973311742</v>
      </c>
      <c r="Q9" s="7"/>
    </row>
    <row r="10" spans="1:17" ht="12.75" customHeight="1" x14ac:dyDescent="0.2">
      <c r="B10" s="32"/>
      <c r="C10" s="25">
        <v>4</v>
      </c>
      <c r="D10" s="26">
        <v>1084984.6854309849</v>
      </c>
      <c r="E10" s="26">
        <v>74940.141475205732</v>
      </c>
      <c r="F10" s="26">
        <v>13628.264693439132</v>
      </c>
      <c r="G10" s="26">
        <v>8119.4910521505089</v>
      </c>
      <c r="H10" s="26">
        <f>SUM(E10:G10)</f>
        <v>96687.897220795378</v>
      </c>
      <c r="I10" s="28">
        <v>66791.682964341206</v>
      </c>
      <c r="J10" s="28">
        <v>2034.5931511999997</v>
      </c>
      <c r="K10" s="28">
        <v>137090.09295719999</v>
      </c>
      <c r="L10" s="28">
        <v>2847.1208625249933</v>
      </c>
      <c r="M10" s="28">
        <v>5.3402769999999995</v>
      </c>
      <c r="N10" s="29">
        <f t="shared" si="0"/>
        <v>1390441.4128640466</v>
      </c>
      <c r="O10" s="30">
        <v>34792.478091787932</v>
      </c>
      <c r="P10" s="31">
        <f t="shared" si="1"/>
        <v>1425233.8909558346</v>
      </c>
      <c r="Q10" s="7"/>
    </row>
    <row r="11" spans="1:17" ht="12.75" customHeight="1" x14ac:dyDescent="0.2">
      <c r="B11" s="32"/>
      <c r="C11" s="25">
        <v>5</v>
      </c>
      <c r="D11" s="26">
        <v>1060147.2614873406</v>
      </c>
      <c r="E11" s="27">
        <v>21074.203634965477</v>
      </c>
      <c r="F11" s="27">
        <v>4403.097835222894</v>
      </c>
      <c r="G11" s="27">
        <v>5359.4337395018201</v>
      </c>
      <c r="H11" s="26">
        <f>SUM(E11:G11)</f>
        <v>30836.735209690192</v>
      </c>
      <c r="I11" s="27">
        <v>62661.063190401466</v>
      </c>
      <c r="J11" s="27">
        <v>1944.9547168999998</v>
      </c>
      <c r="K11" s="27">
        <v>141157.44097580001</v>
      </c>
      <c r="L11" s="27">
        <v>670.4130769531248</v>
      </c>
      <c r="M11" s="28">
        <v>5.0679914000000004</v>
      </c>
      <c r="N11" s="29">
        <f t="shared" si="0"/>
        <v>1297422.9366484853</v>
      </c>
      <c r="O11" s="29">
        <v>44215.825055548172</v>
      </c>
      <c r="P11" s="31">
        <f t="shared" si="1"/>
        <v>1341638.7617040335</v>
      </c>
      <c r="Q11" s="7"/>
    </row>
    <row r="12" spans="1:17" ht="12.75" customHeight="1" x14ac:dyDescent="0.2">
      <c r="B12" s="32"/>
      <c r="C12" s="25">
        <v>6</v>
      </c>
      <c r="D12" s="26">
        <v>1156260.9193777842</v>
      </c>
      <c r="E12" s="26">
        <v>83906.545301090708</v>
      </c>
      <c r="F12" s="26">
        <v>15160.969728787357</v>
      </c>
      <c r="G12" s="26">
        <v>50944.452671406354</v>
      </c>
      <c r="H12" s="26">
        <f t="shared" ref="H12:H18" si="2">+G12+F12+E12</f>
        <v>150011.96770128442</v>
      </c>
      <c r="I12" s="28">
        <v>68342.61704120037</v>
      </c>
      <c r="J12" s="28">
        <v>2774.9895092000002</v>
      </c>
      <c r="K12" s="28">
        <v>133786.03898509999</v>
      </c>
      <c r="L12" s="28">
        <v>3211.8429933763159</v>
      </c>
      <c r="M12" s="28">
        <v>5.0463609000000007</v>
      </c>
      <c r="N12" s="29">
        <f t="shared" si="0"/>
        <v>1514393.4219688454</v>
      </c>
      <c r="O12" s="35">
        <v>47698.400054170233</v>
      </c>
      <c r="P12" s="31">
        <f t="shared" si="1"/>
        <v>1562091.8220230157</v>
      </c>
      <c r="Q12" s="7"/>
    </row>
    <row r="13" spans="1:17" ht="12.75" customHeight="1" x14ac:dyDescent="0.2">
      <c r="B13" s="32"/>
      <c r="C13" s="25">
        <v>7</v>
      </c>
      <c r="D13" s="26">
        <v>1197577.6290516299</v>
      </c>
      <c r="E13" s="26">
        <v>21714.093577108531</v>
      </c>
      <c r="F13" s="26">
        <v>4972.2300044199192</v>
      </c>
      <c r="G13" s="26">
        <v>4600.1869176163218</v>
      </c>
      <c r="H13" s="26">
        <f t="shared" si="2"/>
        <v>31286.510499144773</v>
      </c>
      <c r="I13" s="28">
        <v>69623.155031487739</v>
      </c>
      <c r="J13" s="28">
        <v>1978.9324590000001</v>
      </c>
      <c r="K13" s="28">
        <v>138562.6014864</v>
      </c>
      <c r="L13" s="28">
        <v>721.61383914062435</v>
      </c>
      <c r="M13" s="28">
        <v>5.5052055999999991</v>
      </c>
      <c r="N13" s="29">
        <f t="shared" si="0"/>
        <v>1439755.9475724031</v>
      </c>
      <c r="O13" s="35">
        <v>48257.844029827567</v>
      </c>
      <c r="P13" s="31">
        <f t="shared" si="1"/>
        <v>1488013.7916022306</v>
      </c>
      <c r="Q13" s="7"/>
    </row>
    <row r="14" spans="1:17" ht="12.75" customHeight="1" x14ac:dyDescent="0.2">
      <c r="B14" s="32"/>
      <c r="C14" s="25">
        <v>8</v>
      </c>
      <c r="D14" s="26"/>
      <c r="E14" s="26"/>
      <c r="F14" s="26"/>
      <c r="G14" s="26"/>
      <c r="H14" s="26">
        <f t="shared" si="2"/>
        <v>0</v>
      </c>
      <c r="I14" s="26"/>
      <c r="J14" s="28"/>
      <c r="K14" s="28"/>
      <c r="L14" s="28"/>
      <c r="M14" s="28"/>
      <c r="N14" s="29">
        <f t="shared" si="0"/>
        <v>0</v>
      </c>
      <c r="O14" s="35"/>
      <c r="P14" s="31">
        <f t="shared" si="1"/>
        <v>0</v>
      </c>
      <c r="Q14" s="7"/>
    </row>
    <row r="15" spans="1:17" ht="12.75" customHeight="1" x14ac:dyDescent="0.2">
      <c r="B15" s="32"/>
      <c r="C15" s="25">
        <v>9</v>
      </c>
      <c r="D15" s="26"/>
      <c r="E15" s="26"/>
      <c r="F15" s="26"/>
      <c r="G15" s="26"/>
      <c r="H15" s="26">
        <f t="shared" si="2"/>
        <v>0</v>
      </c>
      <c r="I15" s="28"/>
      <c r="J15" s="28"/>
      <c r="K15" s="29"/>
      <c r="L15" s="28"/>
      <c r="M15" s="33"/>
      <c r="N15" s="29">
        <f t="shared" si="0"/>
        <v>0</v>
      </c>
      <c r="O15" s="35"/>
      <c r="P15" s="31">
        <f t="shared" si="1"/>
        <v>0</v>
      </c>
      <c r="Q15" s="7"/>
    </row>
    <row r="16" spans="1:17" ht="12.75" customHeight="1" x14ac:dyDescent="0.2">
      <c r="B16" s="32"/>
      <c r="C16" s="25">
        <v>10</v>
      </c>
      <c r="D16" s="26"/>
      <c r="E16" s="26"/>
      <c r="F16" s="26"/>
      <c r="G16" s="26"/>
      <c r="H16" s="26">
        <f t="shared" si="2"/>
        <v>0</v>
      </c>
      <c r="I16" s="28"/>
      <c r="J16" s="28"/>
      <c r="K16" s="28"/>
      <c r="L16" s="28"/>
      <c r="M16" s="33"/>
      <c r="N16" s="29">
        <f t="shared" si="0"/>
        <v>0</v>
      </c>
      <c r="O16" s="30"/>
      <c r="P16" s="31">
        <f t="shared" si="1"/>
        <v>0</v>
      </c>
      <c r="Q16" s="7"/>
    </row>
    <row r="17" spans="1:17" ht="12.75" customHeight="1" x14ac:dyDescent="0.2">
      <c r="B17" s="32"/>
      <c r="C17" s="25">
        <v>11</v>
      </c>
      <c r="D17" s="26"/>
      <c r="E17" s="26"/>
      <c r="F17" s="26"/>
      <c r="G17" s="26"/>
      <c r="H17" s="26">
        <f t="shared" si="2"/>
        <v>0</v>
      </c>
      <c r="I17" s="28"/>
      <c r="J17" s="28"/>
      <c r="K17" s="28"/>
      <c r="L17" s="28"/>
      <c r="M17" s="28"/>
      <c r="N17" s="29">
        <f t="shared" si="0"/>
        <v>0</v>
      </c>
      <c r="O17" s="36"/>
      <c r="P17" s="31">
        <f t="shared" si="1"/>
        <v>0</v>
      </c>
      <c r="Q17" s="7"/>
    </row>
    <row r="18" spans="1:17" thickBot="1" x14ac:dyDescent="0.25">
      <c r="B18" s="32"/>
      <c r="C18" s="25">
        <v>12</v>
      </c>
      <c r="D18" s="26"/>
      <c r="E18" s="26"/>
      <c r="F18" s="26"/>
      <c r="G18" s="26"/>
      <c r="H18" s="26">
        <f t="shared" si="2"/>
        <v>0</v>
      </c>
      <c r="I18" s="28"/>
      <c r="J18" s="28"/>
      <c r="K18" s="28"/>
      <c r="L18" s="28"/>
      <c r="M18" s="28"/>
      <c r="N18" s="29">
        <f t="shared" ref="N18" si="3">+M18+L18+K18++J18+I18+H18+D18</f>
        <v>0</v>
      </c>
      <c r="O18" s="30"/>
      <c r="P18" s="31">
        <f t="shared" si="1"/>
        <v>0</v>
      </c>
      <c r="Q18" s="7"/>
    </row>
    <row r="19" spans="1:17" ht="24.95" customHeight="1" thickBot="1" x14ac:dyDescent="0.25">
      <c r="A19" s="7"/>
      <c r="B19" s="45" t="s">
        <v>2</v>
      </c>
      <c r="C19" s="46"/>
      <c r="D19" s="43">
        <f t="shared" ref="D19:P19" si="4">SUM(D7:D18)</f>
        <v>7491037.995281443</v>
      </c>
      <c r="E19" s="43">
        <f t="shared" si="4"/>
        <v>415815.98827508907</v>
      </c>
      <c r="F19" s="43">
        <f t="shared" si="4"/>
        <v>73677.370057789434</v>
      </c>
      <c r="G19" s="43">
        <f t="shared" si="4"/>
        <v>153003.10102049759</v>
      </c>
      <c r="H19" s="43">
        <f t="shared" si="4"/>
        <v>642496.45935337618</v>
      </c>
      <c r="I19" s="43">
        <f t="shared" si="4"/>
        <v>434366.47604060132</v>
      </c>
      <c r="J19" s="43">
        <f t="shared" si="4"/>
        <v>17180.293262700001</v>
      </c>
      <c r="K19" s="43">
        <f t="shared" si="4"/>
        <v>951532.35548589996</v>
      </c>
      <c r="L19" s="43">
        <f t="shared" si="4"/>
        <v>15728.363981599772</v>
      </c>
      <c r="M19" s="43">
        <f t="shared" si="4"/>
        <v>35.862327299999997</v>
      </c>
      <c r="N19" s="43">
        <f t="shared" si="4"/>
        <v>9552377.8057329208</v>
      </c>
      <c r="O19" s="43">
        <f t="shared" si="4"/>
        <v>264990.57943947089</v>
      </c>
      <c r="P19" s="43">
        <f t="shared" si="4"/>
        <v>9817368.3851723894</v>
      </c>
    </row>
    <row r="20" spans="1:17" s="8" customFormat="1" ht="12.75" customHeight="1" x14ac:dyDescent="0.2">
      <c r="B20" s="20" t="s">
        <v>18</v>
      </c>
      <c r="C20" s="21"/>
      <c r="D20" s="22"/>
      <c r="E20" s="23"/>
      <c r="F20" s="9"/>
      <c r="P20" s="13"/>
    </row>
    <row r="21" spans="1:17" s="1" customFormat="1" ht="12.75" customHeight="1" x14ac:dyDescent="0.2">
      <c r="C21" s="10"/>
      <c r="D21" s="11"/>
      <c r="E21" s="12"/>
      <c r="F21" s="2"/>
    </row>
    <row r="22" spans="1:17" ht="12.75" customHeight="1" x14ac:dyDescent="0.2">
      <c r="C22" t="s"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O22" s="7"/>
      <c r="P22" s="7"/>
    </row>
    <row r="23" spans="1:17" ht="12.75" customHeight="1" x14ac:dyDescent="0.2">
      <c r="G23" s="7"/>
      <c r="H23" s="7"/>
    </row>
  </sheetData>
  <mergeCells count="10">
    <mergeCell ref="B19:C19"/>
    <mergeCell ref="I5:I6"/>
    <mergeCell ref="J5:J6"/>
    <mergeCell ref="K5:K6"/>
    <mergeCell ref="P5:P6"/>
    <mergeCell ref="L5:L6"/>
    <mergeCell ref="M5:M6"/>
    <mergeCell ref="N5:N6"/>
    <mergeCell ref="O5:O6"/>
    <mergeCell ref="D5:D6"/>
  </mergeCells>
  <phoneticPr fontId="8" type="noConversion"/>
  <conditionalFormatting sqref="E20 B19:C19 E19:P19 K7:P8 J12:O13 I8:K9 J7:J11 I7:I14 P8:P14 N8:N17 I14:P19 J9:N9 D12:H13 E11:L11 D15:H19 E14:H14 K9:O11 D7:H10">
    <cfRule type="cellIs" dxfId="6" priority="53" stopIfTrue="1" operator="equal">
      <formula>0</formula>
    </cfRule>
  </conditionalFormatting>
  <conditionalFormatting sqref="O11">
    <cfRule type="cellIs" dxfId="5" priority="8" stopIfTrue="1" operator="equal">
      <formula>0</formula>
    </cfRule>
  </conditionalFormatting>
  <conditionalFormatting sqref="D8">
    <cfRule type="cellIs" dxfId="4" priority="7" stopIfTrue="1" operator="equal">
      <formula>0</formula>
    </cfRule>
  </conditionalFormatting>
  <conditionalFormatting sqref="I14">
    <cfRule type="cellIs" dxfId="3" priority="6" stopIfTrue="1" operator="equal">
      <formula>0</formula>
    </cfRule>
  </conditionalFormatting>
  <conditionalFormatting sqref="I14">
    <cfRule type="cellIs" dxfId="2" priority="5" stopIfTrue="1" operator="equal">
      <formula>0</formula>
    </cfRule>
  </conditionalFormatting>
  <conditionalFormatting sqref="D11">
    <cfRule type="cellIs" dxfId="1" priority="3" stopIfTrue="1" operator="equal">
      <formula>0</formula>
    </cfRule>
  </conditionalFormatting>
  <conditionalFormatting sqref="D14">
    <cfRule type="cellIs" dxfId="0" priority="1" stopIfTrue="1" operator="equal">
      <formula>0</formula>
    </cfRule>
  </conditionalFormatting>
  <pageMargins left="0.75" right="0.75" top="1" bottom="1" header="0" footer="0"/>
  <pageSetup paperSize="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jremis</dc:creator>
  <cp:lastModifiedBy>Joaquin Remis</cp:lastModifiedBy>
  <cp:lastPrinted>2010-01-05T19:08:27Z</cp:lastPrinted>
  <dcterms:created xsi:type="dcterms:W3CDTF">2009-10-01T13:08:51Z</dcterms:created>
  <dcterms:modified xsi:type="dcterms:W3CDTF">2026-08-04T16:01:09Z</dcterms:modified>
</cp:coreProperties>
</file>