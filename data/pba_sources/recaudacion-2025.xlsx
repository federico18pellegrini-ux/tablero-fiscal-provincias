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remis\Documents\2026\"/>
    </mc:Choice>
  </mc:AlternateContent>
  <bookViews>
    <workbookView xWindow="0" yWindow="45" windowWidth="12120" windowHeight="8445"/>
  </bookViews>
  <sheets>
    <sheet name="2025" sheetId="34" r:id="rId1"/>
    <sheet name="2024" sheetId="32" r:id="rId2"/>
    <sheet name="2023" sheetId="33" r:id="rId3"/>
    <sheet name="2022" sheetId="31" r:id="rId4"/>
    <sheet name="2021" sheetId="30" r:id="rId5"/>
    <sheet name="2020" sheetId="28" r:id="rId6"/>
    <sheet name="2019" sheetId="27" r:id="rId7"/>
    <sheet name="2018" sheetId="26" r:id="rId8"/>
    <sheet name="2017" sheetId="25" r:id="rId9"/>
    <sheet name="2016" sheetId="24" r:id="rId10"/>
    <sheet name="2015" sheetId="22" r:id="rId11"/>
    <sheet name="2014" sheetId="21" r:id="rId12"/>
    <sheet name="2013" sheetId="20" r:id="rId13"/>
    <sheet name="2012" sheetId="19" r:id="rId14"/>
    <sheet name="2011" sheetId="18" r:id="rId15"/>
    <sheet name="2010" sheetId="17" r:id="rId16"/>
    <sheet name="2009" sheetId="6" r:id="rId17"/>
    <sheet name="2008" sheetId="7" r:id="rId18"/>
    <sheet name="2007" sheetId="8" r:id="rId19"/>
    <sheet name="2006" sheetId="9" r:id="rId20"/>
    <sheet name="2005" sheetId="10" r:id="rId21"/>
    <sheet name="2004" sheetId="11" r:id="rId22"/>
    <sheet name="2003" sheetId="12" r:id="rId23"/>
    <sheet name="2002" sheetId="16" r:id="rId24"/>
    <sheet name="2001" sheetId="15" r:id="rId25"/>
    <sheet name="2000" sheetId="14" r:id="rId26"/>
    <sheet name="1999" sheetId="13" r:id="rId27"/>
  </sheets>
  <calcPr calcId="162913"/>
</workbook>
</file>

<file path=xl/calcChain.xml><?xml version="1.0" encoding="utf-8"?>
<calcChain xmlns="http://schemas.openxmlformats.org/spreadsheetml/2006/main">
  <c r="O19" i="34" l="1"/>
  <c r="M19" i="34"/>
  <c r="L19" i="34"/>
  <c r="K19" i="34"/>
  <c r="J19" i="34"/>
  <c r="I19" i="34"/>
  <c r="G19" i="34"/>
  <c r="F19" i="34"/>
  <c r="E19" i="34"/>
  <c r="D19" i="34"/>
  <c r="N18" i="34"/>
  <c r="P18" i="34" s="1"/>
  <c r="H18" i="34"/>
  <c r="H17" i="34"/>
  <c r="N17" i="34" s="1"/>
  <c r="P17" i="34" s="1"/>
  <c r="H16" i="34"/>
  <c r="N16" i="34" s="1"/>
  <c r="P16" i="34" s="1"/>
  <c r="H15" i="34"/>
  <c r="N15" i="34" s="1"/>
  <c r="P15" i="34" s="1"/>
  <c r="N14" i="34"/>
  <c r="P14" i="34" s="1"/>
  <c r="H14" i="34"/>
  <c r="N13" i="34"/>
  <c r="P13" i="34" s="1"/>
  <c r="H13" i="34"/>
  <c r="H12" i="34"/>
  <c r="N12" i="34" s="1"/>
  <c r="P12" i="34" s="1"/>
  <c r="H11" i="34"/>
  <c r="N11" i="34" s="1"/>
  <c r="P11" i="34" s="1"/>
  <c r="N10" i="34"/>
  <c r="P10" i="34" s="1"/>
  <c r="H10" i="34"/>
  <c r="H9" i="34"/>
  <c r="N9" i="34" s="1"/>
  <c r="P9" i="34" s="1"/>
  <c r="H8" i="34"/>
  <c r="N8" i="34" s="1"/>
  <c r="P8" i="34" s="1"/>
  <c r="H7" i="34"/>
  <c r="H19" i="34" s="1"/>
  <c r="N7" i="34" l="1"/>
  <c r="O19" i="33"/>
  <c r="M19" i="33"/>
  <c r="L19" i="33"/>
  <c r="K19" i="33"/>
  <c r="J19" i="33"/>
  <c r="I19" i="33"/>
  <c r="G19" i="33"/>
  <c r="F19" i="33"/>
  <c r="E19" i="33"/>
  <c r="D19" i="33"/>
  <c r="H18" i="33"/>
  <c r="N18" i="33" s="1"/>
  <c r="P18" i="33" s="1"/>
  <c r="H17" i="33"/>
  <c r="N17" i="33" s="1"/>
  <c r="P17" i="33" s="1"/>
  <c r="H16" i="33"/>
  <c r="N16" i="33" s="1"/>
  <c r="P16" i="33" s="1"/>
  <c r="N15" i="33"/>
  <c r="P15" i="33" s="1"/>
  <c r="H15" i="33"/>
  <c r="H14" i="33"/>
  <c r="N14" i="33" s="1"/>
  <c r="P14" i="33" s="1"/>
  <c r="H13" i="33"/>
  <c r="N13" i="33" s="1"/>
  <c r="P13" i="33" s="1"/>
  <c r="H12" i="33"/>
  <c r="N12" i="33" s="1"/>
  <c r="P12" i="33" s="1"/>
  <c r="N11" i="33"/>
  <c r="P11" i="33" s="1"/>
  <c r="H11" i="33"/>
  <c r="H10" i="33"/>
  <c r="N10" i="33" s="1"/>
  <c r="P10" i="33" s="1"/>
  <c r="H9" i="33"/>
  <c r="N9" i="33" s="1"/>
  <c r="P9" i="33" s="1"/>
  <c r="H8" i="33"/>
  <c r="N8" i="33" s="1"/>
  <c r="P8" i="33" s="1"/>
  <c r="N7" i="33"/>
  <c r="H7" i="33"/>
  <c r="H19" i="33" s="1"/>
  <c r="N19" i="34" l="1"/>
  <c r="P7" i="34"/>
  <c r="P19" i="34" s="1"/>
  <c r="N19" i="33"/>
  <c r="P7" i="33"/>
  <c r="P19" i="33" s="1"/>
  <c r="O19" i="32" l="1"/>
  <c r="M19" i="32"/>
  <c r="L19" i="32"/>
  <c r="K19" i="32"/>
  <c r="J19" i="32"/>
  <c r="I19" i="32"/>
  <c r="G19" i="32"/>
  <c r="F19" i="32"/>
  <c r="E19" i="32"/>
  <c r="D19" i="32"/>
  <c r="H18" i="32"/>
  <c r="N18" i="32" s="1"/>
  <c r="P18" i="32" s="1"/>
  <c r="H17" i="32"/>
  <c r="N17" i="32" s="1"/>
  <c r="P17" i="32" s="1"/>
  <c r="H16" i="32"/>
  <c r="N16" i="32" s="1"/>
  <c r="P16" i="32" s="1"/>
  <c r="N15" i="32"/>
  <c r="P15" i="32" s="1"/>
  <c r="H15" i="32"/>
  <c r="H14" i="32"/>
  <c r="N14" i="32" s="1"/>
  <c r="P14" i="32" s="1"/>
  <c r="H13" i="32"/>
  <c r="N13" i="32" s="1"/>
  <c r="P13" i="32" s="1"/>
  <c r="H12" i="32"/>
  <c r="N12" i="32" s="1"/>
  <c r="P12" i="32" s="1"/>
  <c r="N11" i="32"/>
  <c r="P11" i="32" s="1"/>
  <c r="H11" i="32"/>
  <c r="H10" i="32"/>
  <c r="N10" i="32" s="1"/>
  <c r="P10" i="32" s="1"/>
  <c r="H9" i="32"/>
  <c r="N9" i="32" s="1"/>
  <c r="P9" i="32" s="1"/>
  <c r="H8" i="32"/>
  <c r="N8" i="32" s="1"/>
  <c r="P8" i="32" s="1"/>
  <c r="N7" i="32"/>
  <c r="H7" i="32"/>
  <c r="N19" i="32" l="1"/>
  <c r="P7" i="32"/>
  <c r="P19" i="32" s="1"/>
  <c r="H19" i="32"/>
  <c r="O19" i="31"/>
  <c r="M19" i="31"/>
  <c r="L19" i="31"/>
  <c r="K19" i="31"/>
  <c r="J19" i="31"/>
  <c r="I19" i="31"/>
  <c r="G19" i="31"/>
  <c r="F19" i="31"/>
  <c r="E19" i="31"/>
  <c r="D19" i="31"/>
  <c r="H18" i="31"/>
  <c r="N18" i="31" s="1"/>
  <c r="P18" i="31" s="1"/>
  <c r="P17" i="31"/>
  <c r="H17" i="31"/>
  <c r="H16" i="31"/>
  <c r="N16" i="31" s="1"/>
  <c r="P16" i="31" s="1"/>
  <c r="H15" i="31"/>
  <c r="N15" i="31" s="1"/>
  <c r="P15" i="31" s="1"/>
  <c r="H14" i="31"/>
  <c r="N14" i="31" s="1"/>
  <c r="P14" i="31" s="1"/>
  <c r="H13" i="31"/>
  <c r="N13" i="31" s="1"/>
  <c r="P13" i="31" s="1"/>
  <c r="H12" i="31"/>
  <c r="N12" i="31" s="1"/>
  <c r="P12" i="31" s="1"/>
  <c r="H11" i="31"/>
  <c r="N11" i="31" s="1"/>
  <c r="P11" i="31" s="1"/>
  <c r="H10" i="31"/>
  <c r="N10" i="31" s="1"/>
  <c r="P10" i="31" s="1"/>
  <c r="H9" i="31"/>
  <c r="N9" i="31" s="1"/>
  <c r="P9" i="31" s="1"/>
  <c r="H8" i="31"/>
  <c r="N8" i="31" s="1"/>
  <c r="P8" i="31" s="1"/>
  <c r="H7" i="31"/>
  <c r="H19" i="31" s="1"/>
  <c r="N7" i="31" l="1"/>
  <c r="N19" i="31" l="1"/>
  <c r="P7" i="31"/>
  <c r="P19" i="31" s="1"/>
  <c r="N17" i="30" l="1"/>
  <c r="P17" i="30" s="1"/>
  <c r="N16" i="30"/>
  <c r="P16" i="30" s="1"/>
  <c r="N15" i="30"/>
  <c r="P15" i="30" s="1"/>
  <c r="O18" i="30"/>
  <c r="M18" i="30"/>
  <c r="L18" i="30"/>
  <c r="K18" i="30"/>
  <c r="J18" i="30"/>
  <c r="I18" i="30"/>
  <c r="G18" i="30"/>
  <c r="F18" i="30"/>
  <c r="E18" i="30"/>
  <c r="D18" i="30"/>
  <c r="N13" i="30"/>
  <c r="P13" i="30" s="1"/>
  <c r="N12" i="30"/>
  <c r="P12" i="30" s="1"/>
  <c r="N10" i="30"/>
  <c r="P10" i="30" s="1"/>
  <c r="N9" i="30"/>
  <c r="P9" i="30" s="1"/>
  <c r="N8" i="30"/>
  <c r="P8" i="30" s="1"/>
  <c r="N7" i="30"/>
  <c r="P7" i="30" s="1"/>
  <c r="N6" i="30"/>
  <c r="H17" i="28"/>
  <c r="N17" i="28" s="1"/>
  <c r="P17" i="28" s="1"/>
  <c r="H16" i="28"/>
  <c r="N16" i="28" s="1"/>
  <c r="P16" i="28" s="1"/>
  <c r="H15" i="28"/>
  <c r="N15" i="28" s="1"/>
  <c r="P15" i="28" s="1"/>
  <c r="O18" i="28"/>
  <c r="M18" i="28"/>
  <c r="L18" i="28"/>
  <c r="K18" i="28"/>
  <c r="J18" i="28"/>
  <c r="I18" i="28"/>
  <c r="G18" i="28"/>
  <c r="F18" i="28"/>
  <c r="E18" i="28"/>
  <c r="D18" i="28"/>
  <c r="H13" i="28"/>
  <c r="N13" i="28" s="1"/>
  <c r="P13" i="28" s="1"/>
  <c r="H12" i="28"/>
  <c r="N12" i="28" s="1"/>
  <c r="P12" i="28" s="1"/>
  <c r="H11" i="28"/>
  <c r="N11" i="28" s="1"/>
  <c r="P11" i="28" s="1"/>
  <c r="N10" i="28"/>
  <c r="P10" i="28" s="1"/>
  <c r="N9" i="28"/>
  <c r="P9" i="28" s="1"/>
  <c r="N8" i="28"/>
  <c r="P8" i="28" s="1"/>
  <c r="N7" i="28"/>
  <c r="P7" i="28" s="1"/>
  <c r="N6" i="28"/>
  <c r="P6" i="28" s="1"/>
  <c r="P6" i="30" l="1"/>
  <c r="N11" i="30"/>
  <c r="P11" i="30" s="1"/>
  <c r="N14" i="30"/>
  <c r="P14" i="30" s="1"/>
  <c r="H14" i="28"/>
  <c r="N14" i="28" s="1"/>
  <c r="N18" i="28" s="1"/>
  <c r="P18" i="30" l="1"/>
  <c r="H18" i="30"/>
  <c r="N18" i="30"/>
  <c r="H18" i="28"/>
  <c r="P14" i="28"/>
  <c r="P18" i="28" s="1"/>
  <c r="O19" i="27"/>
  <c r="M19" i="27"/>
  <c r="L19" i="27"/>
  <c r="K19" i="27"/>
  <c r="J19" i="27"/>
  <c r="I19" i="27"/>
  <c r="G19" i="27"/>
  <c r="F19" i="27"/>
  <c r="E19" i="27"/>
  <c r="D19" i="27"/>
  <c r="H18" i="27"/>
  <c r="N18" i="27" s="1"/>
  <c r="P18" i="27" s="1"/>
  <c r="N17" i="27"/>
  <c r="P17" i="27" s="1"/>
  <c r="H17" i="27"/>
  <c r="H16" i="27"/>
  <c r="N16" i="27" s="1"/>
  <c r="P16" i="27" s="1"/>
  <c r="H15" i="27"/>
  <c r="N15" i="27" s="1"/>
  <c r="P15" i="27" s="1"/>
  <c r="H14" i="27"/>
  <c r="N14" i="27" s="1"/>
  <c r="P14" i="27" s="1"/>
  <c r="N13" i="27"/>
  <c r="P13" i="27" s="1"/>
  <c r="H13" i="27"/>
  <c r="H12" i="27"/>
  <c r="N12" i="27" s="1"/>
  <c r="P12" i="27" s="1"/>
  <c r="H11" i="27"/>
  <c r="N11" i="27" s="1"/>
  <c r="P11" i="27" s="1"/>
  <c r="H10" i="27"/>
  <c r="N10" i="27" s="1"/>
  <c r="P10" i="27" s="1"/>
  <c r="N9" i="27"/>
  <c r="P9" i="27" s="1"/>
  <c r="H9" i="27"/>
  <c r="H8" i="27"/>
  <c r="N8" i="27" s="1"/>
  <c r="P8" i="27" s="1"/>
  <c r="H7" i="27"/>
  <c r="H19" i="27" s="1"/>
  <c r="N7" i="27" l="1"/>
  <c r="N19" i="27" s="1"/>
  <c r="P7" i="27" l="1"/>
  <c r="P19" i="27" s="1"/>
  <c r="O19" i="26"/>
  <c r="M19" i="26"/>
  <c r="L19" i="26"/>
  <c r="K19" i="26"/>
  <c r="J19" i="26"/>
  <c r="I19" i="26"/>
  <c r="G19" i="26"/>
  <c r="F19" i="26"/>
  <c r="E19" i="26"/>
  <c r="D19" i="26"/>
  <c r="H18" i="26"/>
  <c r="N18" i="26" s="1"/>
  <c r="P18" i="26" s="1"/>
  <c r="N17" i="26"/>
  <c r="P17" i="26"/>
  <c r="N16" i="26"/>
  <c r="P16" i="26"/>
  <c r="H15" i="26"/>
  <c r="N15" i="26" s="1"/>
  <c r="P15" i="26" s="1"/>
  <c r="H14" i="26"/>
  <c r="N14" i="26"/>
  <c r="P14" i="26" s="1"/>
  <c r="H13" i="26"/>
  <c r="N13" i="26" s="1"/>
  <c r="P13" i="26" s="1"/>
  <c r="H12" i="26"/>
  <c r="N12" i="26"/>
  <c r="P12" i="26"/>
  <c r="H11" i="26"/>
  <c r="N11" i="26" s="1"/>
  <c r="P11" i="26" s="1"/>
  <c r="H10" i="26"/>
  <c r="N10" i="26"/>
  <c r="P10" i="26" s="1"/>
  <c r="H9" i="26"/>
  <c r="N9" i="26" s="1"/>
  <c r="P9" i="26" s="1"/>
  <c r="H8" i="26"/>
  <c r="N8" i="26"/>
  <c r="P8" i="26"/>
  <c r="H7" i="26"/>
  <c r="N7" i="26" s="1"/>
  <c r="O19" i="25"/>
  <c r="M19" i="25"/>
  <c r="G19" i="25"/>
  <c r="F19" i="25"/>
  <c r="E19" i="25"/>
  <c r="D19" i="25"/>
  <c r="H18" i="25"/>
  <c r="N18" i="25"/>
  <c r="P18" i="25"/>
  <c r="H17" i="25"/>
  <c r="N17" i="25" s="1"/>
  <c r="P17" i="25" s="1"/>
  <c r="H16" i="25"/>
  <c r="N16" i="25" s="1"/>
  <c r="P16" i="25" s="1"/>
  <c r="H15" i="25"/>
  <c r="N15" i="25" s="1"/>
  <c r="P15" i="25" s="1"/>
  <c r="H14" i="25"/>
  <c r="N14" i="25"/>
  <c r="P14" i="25"/>
  <c r="H13" i="25"/>
  <c r="N13" i="25" s="1"/>
  <c r="P13" i="25" s="1"/>
  <c r="H12" i="25"/>
  <c r="N12" i="25"/>
  <c r="P12" i="25"/>
  <c r="L19" i="25"/>
  <c r="K19" i="25"/>
  <c r="J19" i="25"/>
  <c r="I19" i="25"/>
  <c r="H11" i="25"/>
  <c r="H10" i="25"/>
  <c r="N10" i="25"/>
  <c r="P10" i="25"/>
  <c r="H9" i="25"/>
  <c r="N9" i="25" s="1"/>
  <c r="P9" i="25" s="1"/>
  <c r="H8" i="25"/>
  <c r="N8" i="25"/>
  <c r="P8" i="25"/>
  <c r="N7" i="25"/>
  <c r="P7" i="25" s="1"/>
  <c r="H7" i="25"/>
  <c r="H19" i="25" s="1"/>
  <c r="O19" i="24"/>
  <c r="M19" i="24"/>
  <c r="L19" i="24"/>
  <c r="K19" i="24"/>
  <c r="J19" i="24"/>
  <c r="I19" i="24"/>
  <c r="G19" i="24"/>
  <c r="F19" i="24"/>
  <c r="E19" i="24"/>
  <c r="D19" i="24"/>
  <c r="H18" i="24"/>
  <c r="N18" i="24" s="1"/>
  <c r="P18" i="24" s="1"/>
  <c r="H17" i="24"/>
  <c r="N17" i="24"/>
  <c r="P17" i="24"/>
  <c r="H16" i="24"/>
  <c r="N16" i="24" s="1"/>
  <c r="P16" i="24" s="1"/>
  <c r="H15" i="24"/>
  <c r="N15" i="24" s="1"/>
  <c r="P15" i="24" s="1"/>
  <c r="H14" i="24"/>
  <c r="N14" i="24" s="1"/>
  <c r="P14" i="24" s="1"/>
  <c r="H13" i="24"/>
  <c r="N13" i="24"/>
  <c r="P13" i="24"/>
  <c r="H12" i="24"/>
  <c r="N12" i="24" s="1"/>
  <c r="P12" i="24" s="1"/>
  <c r="H11" i="24"/>
  <c r="N11" i="24" s="1"/>
  <c r="P11" i="24" s="1"/>
  <c r="H10" i="24"/>
  <c r="N10" i="24" s="1"/>
  <c r="P10" i="24" s="1"/>
  <c r="H9" i="24"/>
  <c r="N9" i="24"/>
  <c r="P9" i="24"/>
  <c r="H8" i="24"/>
  <c r="H19" i="24" s="1"/>
  <c r="H7" i="24"/>
  <c r="N7" i="24"/>
  <c r="P7" i="24"/>
  <c r="N19" i="26" l="1"/>
  <c r="P7" i="26"/>
  <c r="P19" i="26" s="1"/>
  <c r="N8" i="24"/>
  <c r="P8" i="24" s="1"/>
  <c r="P19" i="24" s="1"/>
  <c r="H19" i="26"/>
  <c r="N11" i="25"/>
  <c r="P11" i="25" s="1"/>
  <c r="P19" i="25" s="1"/>
  <c r="N19" i="25" l="1"/>
  <c r="N19" i="24"/>
</calcChain>
</file>

<file path=xl/sharedStrings.xml><?xml version="1.0" encoding="utf-8"?>
<sst xmlns="http://schemas.openxmlformats.org/spreadsheetml/2006/main" count="593" uniqueCount="51">
  <si>
    <t xml:space="preserve"> </t>
  </si>
  <si>
    <t>INGRESOS BRUTOS</t>
  </si>
  <si>
    <t>TOTAL</t>
  </si>
  <si>
    <t>INMOBILIARIO</t>
  </si>
  <si>
    <t>AUTOM.</t>
  </si>
  <si>
    <t>SELLOS</t>
  </si>
  <si>
    <t>FOPROVI</t>
  </si>
  <si>
    <t>SUBTOTAL</t>
  </si>
  <si>
    <t>PLANES DE REG. DE DEUDAS</t>
  </si>
  <si>
    <t>EDIFICADO</t>
  </si>
  <si>
    <t>BALDIO</t>
  </si>
  <si>
    <t>RURAL</t>
  </si>
  <si>
    <t>MES</t>
  </si>
  <si>
    <t>Período</t>
  </si>
  <si>
    <t>AÑO</t>
  </si>
  <si>
    <t>RECURSOS TRIBUTARIOS DE ORIGEN PROVINCIAL</t>
  </si>
  <si>
    <t>CONTRIB. A LA ENERGIA  (6 ‰)</t>
  </si>
  <si>
    <t>ADIC. AUTOM.</t>
  </si>
  <si>
    <t>Total</t>
  </si>
  <si>
    <r>
      <t>Fuente</t>
    </r>
    <r>
      <rPr>
        <sz val="8"/>
        <rFont val="Arial"/>
        <family val="2"/>
      </rPr>
      <t>: DPPT en base a datos suministrados por Arba.</t>
    </r>
  </si>
  <si>
    <t>RECAUDACIÓN PROVINCIAL</t>
  </si>
  <si>
    <t xml:space="preserve">AÑO 2007 EN MILES DE PESOS </t>
  </si>
  <si>
    <t xml:space="preserve">AÑO 2008 EN MILES DE PESOS </t>
  </si>
  <si>
    <t xml:space="preserve">AÑO 2009 EN MILES DE PESOS </t>
  </si>
  <si>
    <t xml:space="preserve">AÑO 2006 EN MILES DE PESOS </t>
  </si>
  <si>
    <t xml:space="preserve">AÑO 2005 EN MILES DE PESOS </t>
  </si>
  <si>
    <t xml:space="preserve">AÑO 2004 EN MILES DE PESOS </t>
  </si>
  <si>
    <t xml:space="preserve">AÑO 2003 EN MILES DE PESOS </t>
  </si>
  <si>
    <t xml:space="preserve">AÑO 2002 EN MILES DE PESOS </t>
  </si>
  <si>
    <t xml:space="preserve">AÑO 2001 EN MILES DE PESOS </t>
  </si>
  <si>
    <t xml:space="preserve">AÑO 2000 EN MILES DE PESOS </t>
  </si>
  <si>
    <t xml:space="preserve">AÑO 1999 EN MILES DE PESOS </t>
  </si>
  <si>
    <t>TRANSMISIÓN GRATUITA DE BIENES</t>
  </si>
  <si>
    <t xml:space="preserve">AÑO 2010 EN MILES DE PESOS </t>
  </si>
  <si>
    <t xml:space="preserve">2011 EN MILES DE PESOS </t>
  </si>
  <si>
    <t xml:space="preserve">2012 EN MILES DE PESOS </t>
  </si>
  <si>
    <t xml:space="preserve">2013 EN MILES DE PESOS </t>
  </si>
  <si>
    <t xml:space="preserve">2014 EN MILES DE PESOS </t>
  </si>
  <si>
    <t xml:space="preserve">2015 EN MILES DE PESOS </t>
  </si>
  <si>
    <t xml:space="preserve">2016 EN MILES DE PESOS </t>
  </si>
  <si>
    <t xml:space="preserve">2017 EN MILES DE PESOS </t>
  </si>
  <si>
    <t xml:space="preserve">2018 EN MILES DE PESOS </t>
  </si>
  <si>
    <t xml:space="preserve">2019 EN MILES DE PESOS </t>
  </si>
  <si>
    <r>
      <t>Fuente</t>
    </r>
    <r>
      <rPr>
        <sz val="8"/>
        <color theme="1" tint="0.249977111117893"/>
        <rFont val="Arial"/>
        <family val="2"/>
      </rPr>
      <t>: DPPT en base a datos suministrados por Arba.</t>
    </r>
  </si>
  <si>
    <t xml:space="preserve">2020 EN MILLONES DE PESOS </t>
  </si>
  <si>
    <t xml:space="preserve">2021 EN MILLONES DE PESOS </t>
  </si>
  <si>
    <r>
      <rPr>
        <sz val="12"/>
        <color rgb="FF00AEC3"/>
        <rFont val="Arial"/>
        <family val="2"/>
      </rPr>
      <t>2022 EN MILLONES DE PESOS</t>
    </r>
    <r>
      <rPr>
        <b/>
        <sz val="10"/>
        <color rgb="FF00AEC3"/>
        <rFont val="Arial"/>
        <family val="2"/>
      </rPr>
      <t xml:space="preserve"> </t>
    </r>
  </si>
  <si>
    <t>PERÍODO</t>
  </si>
  <si>
    <r>
      <rPr>
        <sz val="12"/>
        <color rgb="FF00AEC3"/>
        <rFont val="Arial"/>
        <family val="2"/>
      </rPr>
      <t>2024 EN MILLONES DE PESOS</t>
    </r>
    <r>
      <rPr>
        <b/>
        <sz val="10"/>
        <color rgb="FF00AEC3"/>
        <rFont val="Arial"/>
        <family val="2"/>
      </rPr>
      <t xml:space="preserve"> </t>
    </r>
  </si>
  <si>
    <r>
      <rPr>
        <sz val="12"/>
        <color rgb="FF00AEC3"/>
        <rFont val="Arial"/>
        <family val="2"/>
      </rPr>
      <t>2023 EN MILLONES DE PESOS</t>
    </r>
    <r>
      <rPr>
        <b/>
        <sz val="10"/>
        <color rgb="FF00AEC3"/>
        <rFont val="Arial"/>
        <family val="2"/>
      </rPr>
      <t xml:space="preserve"> </t>
    </r>
  </si>
  <si>
    <r>
      <rPr>
        <sz val="12"/>
        <color rgb="FF00AEC3"/>
        <rFont val="Arial"/>
        <family val="2"/>
      </rPr>
      <t>2025 EN MILLONES DE PESOS</t>
    </r>
    <r>
      <rPr>
        <b/>
        <sz val="10"/>
        <color rgb="FF00AEC3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</si>
</sst>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d/m/yy;@"/>
  </numFmts>
  <fonts count="2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theme="1" tint="0.249977111117893"/>
      <name val="Arial"/>
      <family val="2"/>
    </font>
    <font>
      <b/>
      <sz val="10"/>
      <color theme="1" tint="0.249977111117893"/>
      <name val="Arial"/>
      <family val="2"/>
    </font>
    <font>
      <b/>
      <sz val="8"/>
      <color theme="1" tint="0.249977111117893"/>
      <name val="Arial"/>
      <family val="2"/>
    </font>
    <font>
      <sz val="8"/>
      <color theme="1" tint="0.249977111117893"/>
      <name val="Arial"/>
      <family val="2"/>
    </font>
    <font>
      <b/>
      <sz val="18"/>
      <color theme="0"/>
      <name val="Arial"/>
      <family val="2"/>
    </font>
    <font>
      <b/>
      <sz val="10"/>
      <color rgb="FF00AEC3"/>
      <name val="Arial"/>
      <family val="2"/>
    </font>
    <font>
      <sz val="12"/>
      <color rgb="FF00AEC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AEC3"/>
        <bgColor indexed="64"/>
      </patternFill>
    </fill>
    <fill>
      <patternFill patternType="solid">
        <fgColor rgb="FF00AFC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83">
    <xf numFmtId="0" fontId="0" fillId="0" borderId="0" xfId="0"/>
    <xf numFmtId="0" fontId="2" fillId="0" borderId="0" xfId="0" applyFont="1" applyFill="1" applyBorder="1" applyProtection="1">
      <protection locked="0"/>
    </xf>
    <xf numFmtId="0" fontId="4" fillId="0" borderId="0" xfId="0" applyFont="1" applyFill="1" applyBorder="1"/>
    <xf numFmtId="165" fontId="2" fillId="0" borderId="0" xfId="0" applyNumberFormat="1" applyFont="1" applyFill="1" applyBorder="1"/>
    <xf numFmtId="17" fontId="2" fillId="0" borderId="1" xfId="0" applyNumberFormat="1" applyFont="1" applyFill="1" applyBorder="1" applyProtection="1">
      <protection locked="0"/>
    </xf>
    <xf numFmtId="0" fontId="4" fillId="0" borderId="1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 applyProtection="1">
      <alignment horizontal="right"/>
      <protection locked="0"/>
    </xf>
    <xf numFmtId="3" fontId="1" fillId="0" borderId="3" xfId="1" applyNumberFormat="1" applyFont="1" applyFill="1" applyBorder="1" applyProtection="1">
      <protection locked="0"/>
    </xf>
    <xf numFmtId="3" fontId="1" fillId="0" borderId="3" xfId="0" applyNumberFormat="1" applyFont="1" applyFill="1" applyBorder="1"/>
    <xf numFmtId="0" fontId="1" fillId="0" borderId="0" xfId="0" applyFont="1" applyFill="1" applyBorder="1"/>
    <xf numFmtId="0" fontId="3" fillId="0" borderId="0" xfId="0" applyFont="1" applyFill="1" applyBorder="1" applyProtection="1">
      <protection locked="0"/>
    </xf>
    <xf numFmtId="3" fontId="1" fillId="0" borderId="3" xfId="0" applyNumberFormat="1" applyFont="1" applyFill="1" applyBorder="1" applyProtection="1"/>
    <xf numFmtId="3" fontId="1" fillId="0" borderId="4" xfId="0" applyNumberFormat="1" applyFont="1" applyFill="1" applyBorder="1"/>
    <xf numFmtId="3" fontId="1" fillId="0" borderId="4" xfId="0" applyNumberFormat="1" applyFont="1" applyFill="1" applyBorder="1" applyProtection="1"/>
    <xf numFmtId="3" fontId="1" fillId="0" borderId="5" xfId="1" applyNumberFormat="1" applyFont="1" applyFill="1" applyBorder="1" applyProtection="1">
      <protection locked="0"/>
    </xf>
    <xf numFmtId="0" fontId="1" fillId="0" borderId="6" xfId="0" applyFont="1" applyFill="1" applyBorder="1" applyAlignment="1" applyProtection="1">
      <alignment horizontal="center"/>
      <protection locked="0"/>
    </xf>
    <xf numFmtId="3" fontId="1" fillId="0" borderId="7" xfId="1" applyNumberFormat="1" applyFont="1" applyFill="1" applyBorder="1" applyProtection="1">
      <protection locked="0"/>
    </xf>
    <xf numFmtId="3" fontId="1" fillId="0" borderId="8" xfId="0" applyNumberFormat="1" applyFont="1" applyFill="1" applyBorder="1"/>
    <xf numFmtId="0" fontId="2" fillId="0" borderId="2" xfId="0" applyFont="1" applyFill="1" applyBorder="1" applyAlignment="1" applyProtection="1">
      <alignment horizontal="right"/>
      <protection locked="0"/>
    </xf>
    <xf numFmtId="3" fontId="1" fillId="0" borderId="10" xfId="0" applyNumberFormat="1" applyFont="1" applyFill="1" applyBorder="1"/>
    <xf numFmtId="0" fontId="8" fillId="0" borderId="0" xfId="0" applyFont="1"/>
    <xf numFmtId="0" fontId="2" fillId="0" borderId="2" xfId="0" applyFont="1" applyFill="1" applyBorder="1" applyAlignment="1" applyProtection="1">
      <alignment horizontal="center"/>
      <protection locked="0"/>
    </xf>
    <xf numFmtId="3" fontId="1" fillId="0" borderId="11" xfId="0" applyNumberFormat="1" applyFont="1" applyFill="1" applyBorder="1" applyProtection="1"/>
    <xf numFmtId="3" fontId="1" fillId="0" borderId="12" xfId="0" applyNumberFormat="1" applyFont="1" applyFill="1" applyBorder="1"/>
    <xf numFmtId="0" fontId="1" fillId="0" borderId="2" xfId="0" applyFont="1" applyFill="1" applyBorder="1" applyAlignment="1" applyProtection="1">
      <alignment horizontal="center"/>
      <protection locked="0"/>
    </xf>
    <xf numFmtId="0" fontId="1" fillId="0" borderId="0" xfId="0" applyFont="1" applyFill="1" applyBorder="1" applyAlignment="1" applyProtection="1">
      <alignment horizontal="center"/>
      <protection locked="0"/>
    </xf>
    <xf numFmtId="3" fontId="1" fillId="0" borderId="2" xfId="0" applyNumberFormat="1" applyFont="1" applyFill="1" applyBorder="1" applyAlignment="1" applyProtection="1">
      <alignment horizontal="right"/>
      <protection locked="0"/>
    </xf>
    <xf numFmtId="3" fontId="1" fillId="0" borderId="0" xfId="0" applyNumberFormat="1" applyFont="1" applyFill="1" applyBorder="1" applyAlignment="1" applyProtection="1">
      <alignment horizontal="right"/>
      <protection locked="0"/>
    </xf>
    <xf numFmtId="0" fontId="0" fillId="0" borderId="0" xfId="0" applyFill="1" applyBorder="1"/>
    <xf numFmtId="3" fontId="2" fillId="0" borderId="0" xfId="1" applyNumberFormat="1" applyFont="1" applyFill="1" applyBorder="1" applyAlignment="1" applyProtection="1">
      <protection locked="0"/>
    </xf>
    <xf numFmtId="0" fontId="2" fillId="0" borderId="0" xfId="0" applyFont="1"/>
    <xf numFmtId="0" fontId="6" fillId="0" borderId="0" xfId="0" applyFont="1"/>
    <xf numFmtId="0" fontId="6" fillId="0" borderId="0" xfId="0" applyFont="1" applyBorder="1"/>
    <xf numFmtId="0" fontId="6" fillId="0" borderId="0" xfId="0" applyFont="1" applyFill="1" applyBorder="1"/>
    <xf numFmtId="0" fontId="6" fillId="0" borderId="1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 applyProtection="1">
      <alignment horizontal="center"/>
      <protection locked="0"/>
    </xf>
    <xf numFmtId="3" fontId="6" fillId="0" borderId="3" xfId="1" applyNumberFormat="1" applyFont="1" applyFill="1" applyBorder="1" applyProtection="1">
      <protection locked="0"/>
    </xf>
    <xf numFmtId="3" fontId="6" fillId="0" borderId="3" xfId="0" applyNumberFormat="1" applyFont="1" applyFill="1" applyBorder="1" applyProtection="1"/>
    <xf numFmtId="3" fontId="6" fillId="0" borderId="5" xfId="1" applyNumberFormat="1" applyFont="1" applyFill="1" applyBorder="1" applyProtection="1">
      <protection locked="0"/>
    </xf>
    <xf numFmtId="3" fontId="6" fillId="0" borderId="3" xfId="0" applyNumberFormat="1" applyFont="1" applyFill="1" applyBorder="1"/>
    <xf numFmtId="3" fontId="6" fillId="0" borderId="7" xfId="1" applyNumberFormat="1" applyFont="1" applyFill="1" applyBorder="1" applyProtection="1">
      <protection locked="0"/>
    </xf>
    <xf numFmtId="3" fontId="6" fillId="0" borderId="14" xfId="0" applyNumberFormat="1" applyFont="1" applyFill="1" applyBorder="1"/>
    <xf numFmtId="3" fontId="0" fillId="0" borderId="0" xfId="0" applyNumberFormat="1"/>
    <xf numFmtId="0" fontId="6" fillId="0" borderId="2" xfId="0" applyFont="1" applyFill="1" applyBorder="1" applyAlignment="1" applyProtection="1">
      <alignment horizontal="right"/>
      <protection locked="0"/>
    </xf>
    <xf numFmtId="3" fontId="6" fillId="0" borderId="15" xfId="0" applyNumberFormat="1" applyFont="1" applyFill="1" applyBorder="1"/>
    <xf numFmtId="3" fontId="6" fillId="0" borderId="16" xfId="0" applyNumberFormat="1" applyFont="1" applyFill="1" applyBorder="1"/>
    <xf numFmtId="3" fontId="6" fillId="0" borderId="10" xfId="0" applyNumberFormat="1" applyFont="1" applyFill="1" applyBorder="1"/>
    <xf numFmtId="3" fontId="6" fillId="0" borderId="10" xfId="1" applyNumberFormat="1" applyFont="1" applyFill="1" applyBorder="1" applyProtection="1">
      <protection locked="0"/>
    </xf>
    <xf numFmtId="3" fontId="6" fillId="0" borderId="17" xfId="0" applyNumberFormat="1" applyFont="1" applyFill="1" applyBorder="1"/>
    <xf numFmtId="3" fontId="0" fillId="0" borderId="12" xfId="0" applyNumberFormat="1" applyBorder="1"/>
    <xf numFmtId="3" fontId="6" fillId="0" borderId="8" xfId="0" applyNumberFormat="1" applyFont="1" applyFill="1" applyBorder="1"/>
    <xf numFmtId="3" fontId="6" fillId="0" borderId="4" xfId="0" applyNumberFormat="1" applyFont="1" applyFill="1" applyBorder="1" applyProtection="1"/>
    <xf numFmtId="3" fontId="6" fillId="0" borderId="4" xfId="0" applyNumberFormat="1" applyFont="1" applyFill="1" applyBorder="1"/>
    <xf numFmtId="0" fontId="6" fillId="0" borderId="0" xfId="0" applyFont="1" applyFill="1"/>
    <xf numFmtId="0" fontId="7" fillId="0" borderId="0" xfId="0" applyFont="1" applyFill="1" applyBorder="1"/>
    <xf numFmtId="9" fontId="2" fillId="0" borderId="0" xfId="2" applyFont="1" applyFill="1" applyBorder="1" applyProtection="1"/>
    <xf numFmtId="9" fontId="3" fillId="0" borderId="0" xfId="2" applyFont="1" applyFill="1" applyBorder="1" applyProtection="1"/>
    <xf numFmtId="0" fontId="6" fillId="0" borderId="0" xfId="0" applyFont="1" applyProtection="1">
      <protection locked="0"/>
    </xf>
    <xf numFmtId="0" fontId="9" fillId="0" borderId="0" xfId="0" applyFont="1" applyFill="1" applyBorder="1"/>
    <xf numFmtId="0" fontId="9" fillId="0" borderId="1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 applyProtection="1">
      <alignment horizontal="center"/>
      <protection locked="0"/>
    </xf>
    <xf numFmtId="3" fontId="9" fillId="0" borderId="3" xfId="1" applyNumberFormat="1" applyFont="1" applyFill="1" applyBorder="1" applyProtection="1">
      <protection locked="0"/>
    </xf>
    <xf numFmtId="3" fontId="9" fillId="0" borderId="3" xfId="0" applyNumberFormat="1" applyFont="1" applyFill="1" applyBorder="1" applyProtection="1"/>
    <xf numFmtId="3" fontId="9" fillId="0" borderId="5" xfId="1" applyNumberFormat="1" applyFont="1" applyFill="1" applyBorder="1" applyProtection="1">
      <protection locked="0"/>
    </xf>
    <xf numFmtId="3" fontId="9" fillId="0" borderId="3" xfId="0" applyNumberFormat="1" applyFont="1" applyFill="1" applyBorder="1"/>
    <xf numFmtId="3" fontId="9" fillId="0" borderId="10" xfId="0" applyNumberFormat="1" applyFont="1" applyFill="1" applyBorder="1"/>
    <xf numFmtId="3" fontId="9" fillId="0" borderId="7" xfId="1" applyNumberFormat="1" applyFont="1" applyFill="1" applyBorder="1" applyProtection="1">
      <protection locked="0"/>
    </xf>
    <xf numFmtId="3" fontId="9" fillId="0" borderId="8" xfId="0" applyNumberFormat="1" applyFont="1" applyFill="1" applyBorder="1"/>
    <xf numFmtId="0" fontId="9" fillId="0" borderId="2" xfId="0" applyFont="1" applyFill="1" applyBorder="1" applyAlignment="1" applyProtection="1">
      <alignment horizontal="right"/>
      <protection locked="0"/>
    </xf>
    <xf numFmtId="3" fontId="9" fillId="0" borderId="15" xfId="0" applyNumberFormat="1" applyFont="1" applyFill="1" applyBorder="1"/>
    <xf numFmtId="3" fontId="9" fillId="0" borderId="17" xfId="0" applyNumberFormat="1" applyFont="1" applyFill="1" applyBorder="1"/>
    <xf numFmtId="3" fontId="9" fillId="0" borderId="18" xfId="0" applyNumberFormat="1" applyFont="1" applyFill="1" applyBorder="1"/>
    <xf numFmtId="3" fontId="6" fillId="0" borderId="19" xfId="1" applyNumberFormat="1" applyFont="1" applyFill="1" applyBorder="1" applyProtection="1">
      <protection locked="0"/>
    </xf>
    <xf numFmtId="0" fontId="9" fillId="0" borderId="0" xfId="0" applyFont="1" applyFill="1"/>
    <xf numFmtId="0" fontId="9" fillId="0" borderId="0" xfId="0" applyFont="1"/>
    <xf numFmtId="0" fontId="9" fillId="0" borderId="0" xfId="0" applyFont="1" applyBorder="1"/>
    <xf numFmtId="0" fontId="9" fillId="0" borderId="0" xfId="0" applyFont="1" applyProtection="1">
      <protection locked="0"/>
    </xf>
    <xf numFmtId="3" fontId="9" fillId="0" borderId="0" xfId="1" applyNumberFormat="1" applyFont="1" applyFill="1" applyBorder="1" applyProtection="1">
      <protection locked="0"/>
    </xf>
    <xf numFmtId="0" fontId="10" fillId="0" borderId="0" xfId="0" applyFont="1"/>
    <xf numFmtId="0" fontId="10" fillId="0" borderId="0" xfId="0" applyFont="1" applyBorder="1"/>
    <xf numFmtId="0" fontId="10" fillId="0" borderId="0" xfId="0" applyFont="1" applyFill="1" applyBorder="1"/>
    <xf numFmtId="0" fontId="10" fillId="0" borderId="1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 applyProtection="1">
      <alignment horizontal="center"/>
      <protection locked="0"/>
    </xf>
    <xf numFmtId="3" fontId="10" fillId="0" borderId="3" xfId="0" applyNumberFormat="1" applyFont="1" applyFill="1" applyBorder="1" applyProtection="1"/>
    <xf numFmtId="3" fontId="10" fillId="0" borderId="3" xfId="1" applyNumberFormat="1" applyFont="1" applyFill="1" applyBorder="1" applyProtection="1">
      <protection locked="0"/>
    </xf>
    <xf numFmtId="3" fontId="10" fillId="0" borderId="10" xfId="0" applyNumberFormat="1" applyFont="1" applyFill="1" applyBorder="1"/>
    <xf numFmtId="3" fontId="10" fillId="0" borderId="7" xfId="1" applyNumberFormat="1" applyFont="1" applyFill="1" applyBorder="1" applyProtection="1">
      <protection locked="0"/>
    </xf>
    <xf numFmtId="3" fontId="10" fillId="0" borderId="8" xfId="0" applyNumberFormat="1" applyFont="1" applyFill="1" applyBorder="1"/>
    <xf numFmtId="0" fontId="10" fillId="0" borderId="2" xfId="0" applyFont="1" applyFill="1" applyBorder="1" applyAlignment="1" applyProtection="1">
      <alignment horizontal="right"/>
      <protection locked="0"/>
    </xf>
    <xf numFmtId="3" fontId="10" fillId="0" borderId="15" xfId="0" applyNumberFormat="1" applyFont="1" applyFill="1" applyBorder="1"/>
    <xf numFmtId="3" fontId="10" fillId="0" borderId="17" xfId="0" applyNumberFormat="1" applyFont="1" applyFill="1" applyBorder="1"/>
    <xf numFmtId="3" fontId="10" fillId="0" borderId="18" xfId="0" applyNumberFormat="1" applyFont="1" applyFill="1" applyBorder="1"/>
    <xf numFmtId="0" fontId="10" fillId="0" borderId="0" xfId="0" applyFont="1" applyFill="1"/>
    <xf numFmtId="3" fontId="10" fillId="0" borderId="0" xfId="1" applyNumberFormat="1" applyFont="1" applyFill="1" applyBorder="1" applyProtection="1">
      <protection locked="0"/>
    </xf>
    <xf numFmtId="3" fontId="10" fillId="0" borderId="0" xfId="0" applyNumberFormat="1" applyFont="1" applyFill="1"/>
    <xf numFmtId="0" fontId="10" fillId="0" borderId="0" xfId="0" applyFont="1" applyProtection="1">
      <protection locked="0"/>
    </xf>
    <xf numFmtId="3" fontId="6" fillId="0" borderId="18" xfId="0" applyNumberFormat="1" applyFont="1" applyFill="1" applyBorder="1"/>
    <xf numFmtId="3" fontId="6" fillId="0" borderId="0" xfId="1" applyNumberFormat="1" applyFont="1" applyFill="1" applyBorder="1" applyProtection="1">
      <protection locked="0"/>
    </xf>
    <xf numFmtId="3" fontId="6" fillId="0" borderId="0" xfId="0" applyNumberFormat="1" applyFont="1" applyFill="1"/>
    <xf numFmtId="0" fontId="0" fillId="0" borderId="0" xfId="0" applyAlignment="1">
      <alignment wrapText="1"/>
    </xf>
    <xf numFmtId="0" fontId="1" fillId="0" borderId="0" xfId="3"/>
    <xf numFmtId="0" fontId="2" fillId="0" borderId="0" xfId="3" applyFont="1"/>
    <xf numFmtId="0" fontId="1" fillId="0" borderId="0" xfId="3" applyFont="1"/>
    <xf numFmtId="0" fontId="1" fillId="0" borderId="0" xfId="3" applyFont="1" applyBorder="1"/>
    <xf numFmtId="0" fontId="2" fillId="0" borderId="0" xfId="3" applyFont="1" applyFill="1" applyBorder="1" applyProtection="1">
      <protection locked="0"/>
    </xf>
    <xf numFmtId="0" fontId="3" fillId="0" borderId="0" xfId="3" applyFont="1" applyFill="1" applyBorder="1" applyProtection="1">
      <protection locked="0"/>
    </xf>
    <xf numFmtId="0" fontId="4" fillId="0" borderId="0" xfId="3" applyFont="1" applyFill="1" applyBorder="1"/>
    <xf numFmtId="0" fontId="1" fillId="0" borderId="0" xfId="3" applyFont="1" applyFill="1" applyBorder="1"/>
    <xf numFmtId="165" fontId="2" fillId="0" borderId="0" xfId="3" applyNumberFormat="1" applyFont="1" applyFill="1" applyBorder="1"/>
    <xf numFmtId="17" fontId="2" fillId="0" borderId="1" xfId="3" applyNumberFormat="1" applyFont="1" applyFill="1" applyBorder="1" applyProtection="1">
      <protection locked="0"/>
    </xf>
    <xf numFmtId="0" fontId="4" fillId="0" borderId="1" xfId="3" applyFont="1" applyFill="1" applyBorder="1"/>
    <xf numFmtId="0" fontId="1" fillId="0" borderId="1" xfId="3" applyFont="1" applyFill="1" applyBorder="1" applyAlignment="1">
      <alignment horizontal="center" vertical="center" wrapText="1"/>
    </xf>
    <xf numFmtId="0" fontId="2" fillId="0" borderId="2" xfId="3" applyFont="1" applyFill="1" applyBorder="1" applyAlignment="1" applyProtection="1">
      <alignment horizontal="center"/>
      <protection locked="0"/>
    </xf>
    <xf numFmtId="0" fontId="1" fillId="0" borderId="6" xfId="3" applyFont="1" applyFill="1" applyBorder="1" applyAlignment="1" applyProtection="1">
      <alignment horizontal="center"/>
      <protection locked="0"/>
    </xf>
    <xf numFmtId="3" fontId="1" fillId="0" borderId="3" xfId="3" applyNumberFormat="1" applyFont="1" applyFill="1" applyBorder="1" applyProtection="1"/>
    <xf numFmtId="3" fontId="1" fillId="0" borderId="10" xfId="1" applyNumberFormat="1" applyFont="1" applyFill="1" applyBorder="1" applyProtection="1">
      <protection locked="0"/>
    </xf>
    <xf numFmtId="3" fontId="1" fillId="0" borderId="10" xfId="3" applyNumberFormat="1" applyFont="1" applyFill="1" applyBorder="1"/>
    <xf numFmtId="3" fontId="1" fillId="0" borderId="8" xfId="3" applyNumberFormat="1" applyFont="1" applyFill="1" applyBorder="1"/>
    <xf numFmtId="3" fontId="1" fillId="0" borderId="0" xfId="3" applyNumberFormat="1"/>
    <xf numFmtId="0" fontId="1" fillId="0" borderId="2" xfId="3" applyFont="1" applyFill="1" applyBorder="1" applyAlignment="1" applyProtection="1">
      <alignment horizontal="right"/>
      <protection locked="0"/>
    </xf>
    <xf numFmtId="3" fontId="1" fillId="0" borderId="15" xfId="3" applyNumberFormat="1" applyFont="1" applyFill="1" applyBorder="1"/>
    <xf numFmtId="3" fontId="1" fillId="0" borderId="17" xfId="3" applyNumberFormat="1" applyFont="1" applyFill="1" applyBorder="1"/>
    <xf numFmtId="3" fontId="1" fillId="0" borderId="18" xfId="3" applyNumberFormat="1" applyFont="1" applyFill="1" applyBorder="1"/>
    <xf numFmtId="3" fontId="1" fillId="0" borderId="19" xfId="1" applyNumberFormat="1" applyFont="1" applyFill="1" applyBorder="1" applyProtection="1">
      <protection locked="0"/>
    </xf>
    <xf numFmtId="0" fontId="1" fillId="0" borderId="0" xfId="3" applyFont="1" applyFill="1"/>
    <xf numFmtId="0" fontId="8" fillId="0" borderId="0" xfId="3" applyFont="1"/>
    <xf numFmtId="0" fontId="7" fillId="0" borderId="0" xfId="3" applyFont="1" applyFill="1" applyBorder="1"/>
    <xf numFmtId="3" fontId="1" fillId="0" borderId="0" xfId="1" applyNumberFormat="1" applyFont="1" applyFill="1" applyBorder="1" applyProtection="1">
      <protection locked="0"/>
    </xf>
    <xf numFmtId="3" fontId="1" fillId="0" borderId="0" xfId="3" applyNumberFormat="1" applyFont="1" applyFill="1"/>
    <xf numFmtId="0" fontId="1" fillId="0" borderId="0" xfId="3" applyFont="1" applyProtection="1">
      <protection locked="0"/>
    </xf>
    <xf numFmtId="0" fontId="1" fillId="2" borderId="20" xfId="3" applyFont="1" applyFill="1" applyBorder="1" applyAlignment="1">
      <alignment horizontal="centerContinuous" vertical="center"/>
    </xf>
    <xf numFmtId="0" fontId="2" fillId="2" borderId="21" xfId="3" applyFont="1" applyFill="1" applyBorder="1" applyAlignment="1">
      <alignment horizontal="centerContinuous" vertical="center"/>
    </xf>
    <xf numFmtId="0" fontId="1" fillId="2" borderId="11" xfId="3" applyFont="1" applyFill="1" applyBorder="1" applyAlignment="1">
      <alignment horizontal="centerContinuous" vertical="center"/>
    </xf>
    <xf numFmtId="0" fontId="1" fillId="2" borderId="22" xfId="3" applyFont="1" applyFill="1" applyBorder="1" applyAlignment="1">
      <alignment horizontal="center" vertical="center"/>
    </xf>
    <xf numFmtId="0" fontId="1" fillId="2" borderId="23" xfId="3" applyFont="1" applyFill="1" applyBorder="1" applyAlignment="1">
      <alignment horizontal="center" vertical="center"/>
    </xf>
    <xf numFmtId="0" fontId="1" fillId="2" borderId="24" xfId="3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Continuous" vertical="center" wrapText="1"/>
    </xf>
    <xf numFmtId="0" fontId="2" fillId="2" borderId="21" xfId="0" applyFont="1" applyFill="1" applyBorder="1" applyAlignment="1">
      <alignment horizontal="centerContinuous" vertical="center" wrapText="1"/>
    </xf>
    <xf numFmtId="0" fontId="6" fillId="2" borderId="11" xfId="0" applyFont="1" applyFill="1" applyBorder="1" applyAlignment="1">
      <alignment horizontal="centerContinuous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Continuous" vertical="center"/>
    </xf>
    <xf numFmtId="0" fontId="2" fillId="2" borderId="21" xfId="0" applyFont="1" applyFill="1" applyBorder="1" applyAlignment="1">
      <alignment horizontal="centerContinuous" vertical="center"/>
    </xf>
    <xf numFmtId="0" fontId="6" fillId="2" borderId="11" xfId="0" applyFont="1" applyFill="1" applyBorder="1" applyAlignment="1">
      <alignment horizontal="centerContinuous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3" fontId="2" fillId="2" borderId="9" xfId="1" applyNumberFormat="1" applyFont="1" applyFill="1" applyBorder="1" applyProtection="1">
      <protection locked="0"/>
    </xf>
    <xf numFmtId="3" fontId="2" fillId="2" borderId="13" xfId="1" applyNumberFormat="1" applyFont="1" applyFill="1" applyBorder="1" applyAlignment="1" applyProtection="1">
      <protection locked="0"/>
    </xf>
    <xf numFmtId="0" fontId="1" fillId="0" borderId="0" xfId="0" applyFont="1"/>
    <xf numFmtId="0" fontId="1" fillId="0" borderId="0" xfId="0" applyFont="1" applyBorder="1"/>
    <xf numFmtId="0" fontId="12" fillId="3" borderId="2" xfId="0" applyFont="1" applyFill="1" applyBorder="1" applyAlignment="1" applyProtection="1">
      <alignment horizontal="center"/>
      <protection locked="0"/>
    </xf>
    <xf numFmtId="0" fontId="11" fillId="3" borderId="6" xfId="0" applyFont="1" applyFill="1" applyBorder="1" applyAlignment="1" applyProtection="1">
      <alignment horizontal="center"/>
      <protection locked="0"/>
    </xf>
    <xf numFmtId="3" fontId="11" fillId="3" borderId="3" xfId="0" applyNumberFormat="1" applyFont="1" applyFill="1" applyBorder="1" applyProtection="1"/>
    <xf numFmtId="3" fontId="11" fillId="3" borderId="10" xfId="1" applyNumberFormat="1" applyFont="1" applyFill="1" applyBorder="1" applyProtection="1">
      <protection locked="0"/>
    </xf>
    <xf numFmtId="3" fontId="11" fillId="3" borderId="3" xfId="1" applyNumberFormat="1" applyFont="1" applyFill="1" applyBorder="1" applyProtection="1">
      <protection locked="0"/>
    </xf>
    <xf numFmtId="3" fontId="11" fillId="3" borderId="10" xfId="0" applyNumberFormat="1" applyFont="1" applyFill="1" applyBorder="1"/>
    <xf numFmtId="3" fontId="11" fillId="3" borderId="7" xfId="1" applyNumberFormat="1" applyFont="1" applyFill="1" applyBorder="1" applyProtection="1">
      <protection locked="0"/>
    </xf>
    <xf numFmtId="3" fontId="11" fillId="3" borderId="8" xfId="0" applyNumberFormat="1" applyFont="1" applyFill="1" applyBorder="1"/>
    <xf numFmtId="0" fontId="11" fillId="3" borderId="2" xfId="0" applyFont="1" applyFill="1" applyBorder="1" applyAlignment="1" applyProtection="1">
      <alignment horizontal="right"/>
      <protection locked="0"/>
    </xf>
    <xf numFmtId="3" fontId="11" fillId="3" borderId="15" xfId="0" applyNumberFormat="1" applyFont="1" applyFill="1" applyBorder="1"/>
    <xf numFmtId="3" fontId="11" fillId="3" borderId="17" xfId="0" applyNumberFormat="1" applyFont="1" applyFill="1" applyBorder="1"/>
    <xf numFmtId="3" fontId="11" fillId="3" borderId="18" xfId="0" applyNumberFormat="1" applyFont="1" applyFill="1" applyBorder="1"/>
    <xf numFmtId="3" fontId="11" fillId="3" borderId="19" xfId="1" applyNumberFormat="1" applyFont="1" applyFill="1" applyBorder="1" applyProtection="1">
      <protection locked="0"/>
    </xf>
    <xf numFmtId="0" fontId="1" fillId="0" borderId="0" xfId="0" applyFont="1" applyFill="1"/>
    <xf numFmtId="0" fontId="13" fillId="0" borderId="0" xfId="0" applyFont="1"/>
    <xf numFmtId="0" fontId="14" fillId="0" borderId="0" xfId="0" applyFont="1" applyFill="1" applyBorder="1"/>
    <xf numFmtId="9" fontId="12" fillId="0" borderId="0" xfId="2" applyFont="1" applyFill="1" applyBorder="1" applyProtection="1"/>
    <xf numFmtId="3" fontId="11" fillId="0" borderId="0" xfId="1" applyNumberFormat="1" applyFont="1" applyFill="1" applyBorder="1" applyProtection="1">
      <protection locked="0"/>
    </xf>
    <xf numFmtId="3" fontId="1" fillId="0" borderId="0" xfId="0" applyNumberFormat="1" applyFont="1" applyFill="1"/>
    <xf numFmtId="0" fontId="1" fillId="0" borderId="0" xfId="0" applyFont="1" applyProtection="1">
      <protection locked="0"/>
    </xf>
    <xf numFmtId="0" fontId="15" fillId="4" borderId="0" xfId="0" applyFont="1" applyFill="1" applyBorder="1" applyAlignment="1" applyProtection="1">
      <alignment vertical="center"/>
      <protection locked="0"/>
    </xf>
    <xf numFmtId="0" fontId="2" fillId="4" borderId="0" xfId="0" applyFont="1" applyFill="1" applyBorder="1" applyProtection="1">
      <protection locked="0"/>
    </xf>
    <xf numFmtId="0" fontId="3" fillId="4" borderId="0" xfId="0" applyFont="1" applyFill="1" applyBorder="1" applyProtection="1">
      <protection locked="0"/>
    </xf>
    <xf numFmtId="0" fontId="4" fillId="4" borderId="0" xfId="0" applyFont="1" applyFill="1" applyBorder="1"/>
    <xf numFmtId="0" fontId="1" fillId="4" borderId="0" xfId="0" applyFont="1" applyFill="1" applyBorder="1"/>
    <xf numFmtId="165" fontId="2" fillId="4" borderId="0" xfId="0" applyNumberFormat="1" applyFont="1" applyFill="1" applyBorder="1"/>
    <xf numFmtId="17" fontId="16" fillId="0" borderId="1" xfId="0" applyNumberFormat="1" applyFont="1" applyFill="1" applyBorder="1" applyProtection="1">
      <protection locked="0"/>
    </xf>
    <xf numFmtId="3" fontId="1" fillId="0" borderId="35" xfId="1" applyNumberFormat="1" applyFont="1" applyFill="1" applyBorder="1" applyProtection="1">
      <protection locked="0"/>
    </xf>
    <xf numFmtId="0" fontId="18" fillId="5" borderId="20" xfId="0" applyFont="1" applyFill="1" applyBorder="1" applyAlignment="1">
      <alignment horizontal="centerContinuous" vertical="center"/>
    </xf>
    <xf numFmtId="0" fontId="19" fillId="5" borderId="21" xfId="0" applyFont="1" applyFill="1" applyBorder="1" applyAlignment="1">
      <alignment horizontal="centerContinuous" vertical="center"/>
    </xf>
    <xf numFmtId="0" fontId="18" fillId="5" borderId="11" xfId="0" applyFont="1" applyFill="1" applyBorder="1" applyAlignment="1">
      <alignment horizontal="centerContinuous" vertical="center"/>
    </xf>
    <xf numFmtId="0" fontId="11" fillId="6" borderId="22" xfId="0" applyFont="1" applyFill="1" applyBorder="1" applyAlignment="1">
      <alignment horizontal="center" vertical="center"/>
    </xf>
    <xf numFmtId="0" fontId="11" fillId="6" borderId="23" xfId="0" applyFont="1" applyFill="1" applyBorder="1" applyAlignment="1">
      <alignment horizontal="center" vertical="center"/>
    </xf>
    <xf numFmtId="0" fontId="11" fillId="6" borderId="24" xfId="0" applyFont="1" applyFill="1" applyBorder="1" applyAlignment="1">
      <alignment horizontal="center" vertical="center"/>
    </xf>
    <xf numFmtId="3" fontId="1" fillId="0" borderId="36" xfId="1" applyNumberFormat="1" applyFont="1" applyFill="1" applyBorder="1" applyProtection="1">
      <protection locked="0"/>
    </xf>
    <xf numFmtId="3" fontId="12" fillId="7" borderId="9" xfId="1" applyNumberFormat="1" applyFont="1" applyFill="1" applyBorder="1" applyAlignment="1" applyProtection="1">
      <alignment vertical="center"/>
      <protection locked="0"/>
    </xf>
    <xf numFmtId="0" fontId="12" fillId="6" borderId="25" xfId="0" applyFont="1" applyFill="1" applyBorder="1" applyAlignment="1">
      <alignment horizontal="center" vertical="center" wrapText="1"/>
    </xf>
    <xf numFmtId="0" fontId="12" fillId="6" borderId="26" xfId="0" applyFont="1" applyFill="1" applyBorder="1" applyAlignment="1">
      <alignment horizontal="center" vertical="center" wrapText="1"/>
    </xf>
    <xf numFmtId="3" fontId="11" fillId="6" borderId="27" xfId="0" applyNumberFormat="1" applyFont="1" applyFill="1" applyBorder="1" applyAlignment="1" applyProtection="1">
      <alignment horizontal="center" vertical="center" wrapText="1"/>
      <protection locked="0"/>
    </xf>
    <xf numFmtId="3" fontId="11" fillId="6" borderId="23" xfId="0" applyNumberFormat="1" applyFont="1" applyFill="1" applyBorder="1" applyAlignment="1" applyProtection="1">
      <alignment horizontal="center" vertical="center" wrapText="1"/>
      <protection locked="0"/>
    </xf>
    <xf numFmtId="0" fontId="12" fillId="6" borderId="14" xfId="0" applyFont="1" applyFill="1" applyBorder="1" applyAlignment="1">
      <alignment horizontal="center" vertical="center" wrapText="1"/>
    </xf>
    <xf numFmtId="0" fontId="12" fillId="6" borderId="28" xfId="0" applyFont="1" applyFill="1" applyBorder="1" applyAlignment="1">
      <alignment horizontal="center" vertical="center" wrapText="1"/>
    </xf>
    <xf numFmtId="3" fontId="19" fillId="4" borderId="29" xfId="1" applyNumberFormat="1" applyFont="1" applyFill="1" applyBorder="1" applyAlignment="1" applyProtection="1">
      <alignment horizontal="center" vertical="center"/>
      <protection locked="0"/>
    </xf>
    <xf numFmtId="3" fontId="19" fillId="4" borderId="13" xfId="1" applyNumberFormat="1" applyFont="1" applyFill="1" applyBorder="1" applyAlignment="1" applyProtection="1">
      <alignment horizontal="center" vertical="center"/>
      <protection locked="0"/>
    </xf>
    <xf numFmtId="0" fontId="11" fillId="6" borderId="30" xfId="0" applyFont="1" applyFill="1" applyBorder="1" applyAlignment="1" applyProtection="1">
      <alignment horizontal="center" vertical="center" wrapText="1"/>
    </xf>
    <xf numFmtId="0" fontId="11" fillId="6" borderId="22" xfId="0" applyFont="1" applyFill="1" applyBorder="1" applyAlignment="1" applyProtection="1">
      <alignment horizontal="center" vertical="center" wrapText="1"/>
    </xf>
    <xf numFmtId="3" fontId="11" fillId="6" borderId="31" xfId="0" applyNumberFormat="1" applyFont="1" applyFill="1" applyBorder="1" applyAlignment="1" applyProtection="1">
      <alignment horizontal="center" vertical="center" wrapText="1"/>
      <protection locked="0"/>
    </xf>
    <xf numFmtId="3" fontId="11" fillId="6" borderId="32" xfId="0" applyNumberFormat="1" applyFont="1" applyFill="1" applyBorder="1" applyAlignment="1" applyProtection="1">
      <alignment horizontal="center" vertical="center" wrapText="1"/>
      <protection locked="0"/>
    </xf>
    <xf numFmtId="3" fontId="11" fillId="6" borderId="25" xfId="0" applyNumberFormat="1" applyFont="1" applyFill="1" applyBorder="1" applyAlignment="1" applyProtection="1">
      <alignment horizontal="center" vertical="center" wrapText="1"/>
      <protection locked="0"/>
    </xf>
    <xf numFmtId="0" fontId="11" fillId="6" borderId="26" xfId="0" applyFont="1" applyFill="1" applyBorder="1" applyAlignment="1">
      <alignment horizontal="center" vertical="center" wrapText="1"/>
    </xf>
    <xf numFmtId="3" fontId="11" fillId="6" borderId="33" xfId="0" applyNumberFormat="1" applyFont="1" applyFill="1" applyBorder="1" applyAlignment="1" applyProtection="1">
      <alignment horizontal="center" vertical="center" wrapText="1"/>
      <protection locked="0"/>
    </xf>
    <xf numFmtId="3" fontId="11" fillId="6" borderId="34" xfId="0" applyNumberFormat="1" applyFont="1" applyFill="1" applyBorder="1" applyAlignment="1" applyProtection="1">
      <alignment horizontal="center" vertical="center" wrapText="1"/>
      <protection locked="0"/>
    </xf>
    <xf numFmtId="3" fontId="11" fillId="6" borderId="25" xfId="0" applyNumberFormat="1" applyFont="1" applyFill="1" applyBorder="1" applyAlignment="1" applyProtection="1">
      <alignment vertical="center" wrapText="1"/>
      <protection locked="0"/>
    </xf>
    <xf numFmtId="3" fontId="11" fillId="6" borderId="26" xfId="0" applyNumberFormat="1" applyFont="1" applyFill="1" applyBorder="1" applyAlignment="1" applyProtection="1">
      <alignment vertical="center" wrapText="1"/>
      <protection locked="0"/>
    </xf>
    <xf numFmtId="3" fontId="11" fillId="6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25" xfId="3" applyFont="1" applyFill="1" applyBorder="1" applyAlignment="1">
      <alignment horizontal="center" vertical="center" wrapText="1"/>
    </xf>
    <xf numFmtId="0" fontId="2" fillId="2" borderId="26" xfId="3" applyFont="1" applyFill="1" applyBorder="1" applyAlignment="1">
      <alignment horizontal="center" vertical="center" wrapText="1"/>
    </xf>
    <xf numFmtId="3" fontId="1" fillId="2" borderId="27" xfId="3" applyNumberFormat="1" applyFont="1" applyFill="1" applyBorder="1" applyAlignment="1" applyProtection="1">
      <alignment horizontal="center" vertical="center" wrapText="1"/>
      <protection locked="0"/>
    </xf>
    <xf numFmtId="3" fontId="1" fillId="2" borderId="23" xfId="3" applyNumberFormat="1" applyFont="1" applyFill="1" applyBorder="1" applyAlignment="1" applyProtection="1">
      <alignment horizontal="center" vertical="center" wrapText="1"/>
      <protection locked="0"/>
    </xf>
    <xf numFmtId="0" fontId="2" fillId="2" borderId="14" xfId="3" applyFont="1" applyFill="1" applyBorder="1" applyAlignment="1">
      <alignment horizontal="center" vertical="center" wrapText="1"/>
    </xf>
    <xf numFmtId="0" fontId="2" fillId="2" borderId="28" xfId="3" applyFont="1" applyFill="1" applyBorder="1" applyAlignment="1">
      <alignment horizontal="center" vertical="center" wrapText="1"/>
    </xf>
    <xf numFmtId="3" fontId="2" fillId="2" borderId="29" xfId="1" applyNumberFormat="1" applyFont="1" applyFill="1" applyBorder="1" applyAlignment="1" applyProtection="1">
      <alignment horizontal="center"/>
      <protection locked="0"/>
    </xf>
    <xf numFmtId="3" fontId="2" fillId="2" borderId="13" xfId="1" applyNumberFormat="1" applyFont="1" applyFill="1" applyBorder="1" applyAlignment="1" applyProtection="1">
      <alignment horizontal="center"/>
      <protection locked="0"/>
    </xf>
    <xf numFmtId="0" fontId="1" fillId="2" borderId="30" xfId="3" applyFont="1" applyFill="1" applyBorder="1" applyAlignment="1" applyProtection="1">
      <alignment horizontal="center" vertical="center" wrapText="1"/>
    </xf>
    <xf numFmtId="0" fontId="1" fillId="2" borderId="22" xfId="3" applyFont="1" applyFill="1" applyBorder="1" applyAlignment="1" applyProtection="1">
      <alignment horizontal="center" vertical="center" wrapText="1"/>
    </xf>
    <xf numFmtId="3" fontId="1" fillId="2" borderId="31" xfId="3" applyNumberFormat="1" applyFont="1" applyFill="1" applyBorder="1" applyAlignment="1" applyProtection="1">
      <alignment horizontal="center" vertical="center" wrapText="1"/>
      <protection locked="0"/>
    </xf>
    <xf numFmtId="3" fontId="1" fillId="2" borderId="32" xfId="3" applyNumberFormat="1" applyFont="1" applyFill="1" applyBorder="1" applyAlignment="1" applyProtection="1">
      <alignment horizontal="center" vertical="center" wrapText="1"/>
      <protection locked="0"/>
    </xf>
    <xf numFmtId="3" fontId="1" fillId="2" borderId="25" xfId="3" applyNumberFormat="1" applyFont="1" applyFill="1" applyBorder="1" applyAlignment="1" applyProtection="1">
      <alignment horizontal="center" vertical="center" wrapText="1"/>
      <protection locked="0"/>
    </xf>
    <xf numFmtId="0" fontId="1" fillId="2" borderId="26" xfId="3" applyFont="1" applyFill="1" applyBorder="1" applyAlignment="1">
      <alignment horizontal="center" vertical="center" wrapText="1"/>
    </xf>
    <xf numFmtId="3" fontId="1" fillId="2" borderId="33" xfId="3" applyNumberFormat="1" applyFont="1" applyFill="1" applyBorder="1" applyAlignment="1" applyProtection="1">
      <alignment horizontal="center" vertical="center" wrapText="1"/>
      <protection locked="0"/>
    </xf>
    <xf numFmtId="3" fontId="1" fillId="2" borderId="34" xfId="3" applyNumberFormat="1" applyFont="1" applyFill="1" applyBorder="1" applyAlignment="1" applyProtection="1">
      <alignment horizontal="center" vertical="center" wrapText="1"/>
      <protection locked="0"/>
    </xf>
    <xf numFmtId="3" fontId="1" fillId="2" borderId="25" xfId="3" applyNumberFormat="1" applyFont="1" applyFill="1" applyBorder="1" applyAlignment="1" applyProtection="1">
      <alignment vertical="center" wrapText="1"/>
      <protection locked="0"/>
    </xf>
    <xf numFmtId="3" fontId="1" fillId="2" borderId="26" xfId="3" applyNumberFormat="1" applyFont="1" applyFill="1" applyBorder="1" applyAlignment="1" applyProtection="1">
      <alignment vertical="center" wrapText="1"/>
      <protection locked="0"/>
    </xf>
    <xf numFmtId="3" fontId="1" fillId="2" borderId="26" xfId="3" applyNumberFormat="1" applyFont="1" applyFill="1" applyBorder="1" applyAlignment="1" applyProtection="1">
      <alignment horizontal="center" vertical="center" wrapText="1"/>
      <protection locked="0"/>
    </xf>
    <xf numFmtId="0" fontId="2" fillId="2" borderId="2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3" fontId="6" fillId="2" borderId="27" xfId="0" applyNumberFormat="1" applyFont="1" applyFill="1" applyBorder="1" applyAlignment="1" applyProtection="1">
      <alignment horizontal="center" vertical="center" wrapText="1"/>
      <protection locked="0"/>
    </xf>
    <xf numFmtId="3" fontId="6" fillId="2" borderId="23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4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 applyProtection="1">
      <alignment horizontal="center" vertical="center" wrapText="1"/>
    </xf>
    <xf numFmtId="0" fontId="6" fillId="2" borderId="22" xfId="0" applyFont="1" applyFill="1" applyBorder="1" applyAlignment="1" applyProtection="1">
      <alignment horizontal="center" vertical="center" wrapText="1"/>
    </xf>
    <xf numFmtId="3" fontId="6" fillId="2" borderId="31" xfId="0" applyNumberFormat="1" applyFont="1" applyFill="1" applyBorder="1" applyAlignment="1" applyProtection="1">
      <alignment horizontal="center" vertical="center" wrapText="1"/>
      <protection locked="0"/>
    </xf>
    <xf numFmtId="3" fontId="6" fillId="2" borderId="32" xfId="0" applyNumberFormat="1" applyFont="1" applyFill="1" applyBorder="1" applyAlignment="1" applyProtection="1">
      <alignment horizontal="center" vertical="center" wrapText="1"/>
      <protection locked="0"/>
    </xf>
    <xf numFmtId="3" fontId="6" fillId="2" borderId="25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26" xfId="0" applyFont="1" applyFill="1" applyBorder="1" applyAlignment="1">
      <alignment horizontal="center" vertical="center" wrapText="1"/>
    </xf>
    <xf numFmtId="3" fontId="6" fillId="2" borderId="33" xfId="0" applyNumberFormat="1" applyFont="1" applyFill="1" applyBorder="1" applyAlignment="1" applyProtection="1">
      <alignment horizontal="center" vertical="center" wrapText="1"/>
      <protection locked="0"/>
    </xf>
    <xf numFmtId="3" fontId="6" fillId="2" borderId="34" xfId="0" applyNumberFormat="1" applyFont="1" applyFill="1" applyBorder="1" applyAlignment="1" applyProtection="1">
      <alignment horizontal="center" vertical="center" wrapText="1"/>
      <protection locked="0"/>
    </xf>
    <xf numFmtId="3" fontId="6" fillId="2" borderId="25" xfId="0" applyNumberFormat="1" applyFont="1" applyFill="1" applyBorder="1" applyAlignment="1" applyProtection="1">
      <alignment vertical="center" wrapText="1"/>
      <protection locked="0"/>
    </xf>
    <xf numFmtId="3" fontId="6" fillId="2" borderId="26" xfId="0" applyNumberFormat="1" applyFont="1" applyFill="1" applyBorder="1" applyAlignment="1" applyProtection="1">
      <alignment vertical="center" wrapText="1"/>
      <protection locked="0"/>
    </xf>
    <xf numFmtId="3" fontId="6" fillId="2" borderId="26" xfId="0" applyNumberFormat="1" applyFont="1" applyFill="1" applyBorder="1" applyAlignment="1" applyProtection="1">
      <alignment horizontal="center" vertical="center" wrapText="1"/>
      <protection locked="0"/>
    </xf>
    <xf numFmtId="3" fontId="10" fillId="2" borderId="27" xfId="0" applyNumberFormat="1" applyFont="1" applyFill="1" applyBorder="1" applyAlignment="1" applyProtection="1">
      <alignment horizontal="center" vertical="center" wrapText="1"/>
      <protection locked="0"/>
    </xf>
    <xf numFmtId="3" fontId="10" fillId="2" borderId="23" xfId="0" applyNumberFormat="1" applyFont="1" applyFill="1" applyBorder="1" applyAlignment="1" applyProtection="1">
      <alignment horizontal="center" vertical="center" wrapText="1"/>
      <protection locked="0"/>
    </xf>
    <xf numFmtId="3" fontId="10" fillId="2" borderId="31" xfId="0" applyNumberFormat="1" applyFont="1" applyFill="1" applyBorder="1" applyAlignment="1" applyProtection="1">
      <alignment horizontal="center" vertical="center" wrapText="1"/>
      <protection locked="0"/>
    </xf>
    <xf numFmtId="3" fontId="10" fillId="2" borderId="32" xfId="0" applyNumberFormat="1" applyFont="1" applyFill="1" applyBorder="1" applyAlignment="1" applyProtection="1">
      <alignment horizontal="center" vertical="center" wrapText="1"/>
      <protection locked="0"/>
    </xf>
    <xf numFmtId="3" fontId="10" fillId="2" borderId="25" xfId="0" applyNumberFormat="1" applyFont="1" applyFill="1" applyBorder="1" applyAlignment="1" applyProtection="1">
      <alignment horizontal="center" vertical="center" wrapText="1"/>
      <protection locked="0"/>
    </xf>
    <xf numFmtId="0" fontId="10" fillId="2" borderId="26" xfId="0" applyFont="1" applyFill="1" applyBorder="1" applyAlignment="1">
      <alignment horizontal="center" vertical="center" wrapText="1"/>
    </xf>
    <xf numFmtId="3" fontId="10" fillId="2" borderId="33" xfId="0" applyNumberFormat="1" applyFont="1" applyFill="1" applyBorder="1" applyAlignment="1" applyProtection="1">
      <alignment horizontal="center" vertical="center" wrapText="1"/>
      <protection locked="0"/>
    </xf>
    <xf numFmtId="3" fontId="10" fillId="2" borderId="34" xfId="0" applyNumberFormat="1" applyFont="1" applyFill="1" applyBorder="1" applyAlignment="1" applyProtection="1">
      <alignment horizontal="center" vertical="center" wrapText="1"/>
      <protection locked="0"/>
    </xf>
    <xf numFmtId="3" fontId="10" fillId="2" borderId="25" xfId="0" applyNumberFormat="1" applyFont="1" applyFill="1" applyBorder="1" applyAlignment="1" applyProtection="1">
      <alignment vertical="center" wrapText="1"/>
      <protection locked="0"/>
    </xf>
    <xf numFmtId="3" fontId="10" fillId="2" borderId="26" xfId="0" applyNumberFormat="1" applyFont="1" applyFill="1" applyBorder="1" applyAlignment="1" applyProtection="1">
      <alignment vertical="center" wrapText="1"/>
      <protection locked="0"/>
    </xf>
    <xf numFmtId="3" fontId="10" fillId="2" borderId="26" xfId="0" applyNumberFormat="1" applyFont="1" applyFill="1" applyBorder="1" applyAlignment="1" applyProtection="1">
      <alignment horizontal="center" vertical="center" wrapText="1"/>
      <protection locked="0"/>
    </xf>
    <xf numFmtId="3" fontId="9" fillId="2" borderId="27" xfId="0" applyNumberFormat="1" applyFont="1" applyFill="1" applyBorder="1" applyAlignment="1" applyProtection="1">
      <alignment horizontal="center" vertical="center" wrapText="1"/>
      <protection locked="0"/>
    </xf>
    <xf numFmtId="3" fontId="9" fillId="2" borderId="23" xfId="0" applyNumberFormat="1" applyFont="1" applyFill="1" applyBorder="1" applyAlignment="1" applyProtection="1">
      <alignment horizontal="center" vertical="center" wrapText="1"/>
      <protection locked="0"/>
    </xf>
    <xf numFmtId="3" fontId="9" fillId="2" borderId="31" xfId="0" applyNumberFormat="1" applyFont="1" applyFill="1" applyBorder="1" applyAlignment="1" applyProtection="1">
      <alignment horizontal="center" vertical="center" wrapText="1"/>
      <protection locked="0"/>
    </xf>
    <xf numFmtId="3" fontId="9" fillId="2" borderId="32" xfId="0" applyNumberFormat="1" applyFont="1" applyFill="1" applyBorder="1" applyAlignment="1" applyProtection="1">
      <alignment horizontal="center" vertical="center" wrapText="1"/>
      <protection locked="0"/>
    </xf>
    <xf numFmtId="3" fontId="9" fillId="2" borderId="25" xfId="0" applyNumberFormat="1" applyFont="1" applyFill="1" applyBorder="1" applyAlignment="1" applyProtection="1">
      <alignment horizontal="center" vertical="center" wrapText="1"/>
      <protection locked="0"/>
    </xf>
    <xf numFmtId="0" fontId="9" fillId="2" borderId="26" xfId="0" applyFont="1" applyFill="1" applyBorder="1" applyAlignment="1">
      <alignment horizontal="center" vertical="center" wrapText="1"/>
    </xf>
    <xf numFmtId="3" fontId="9" fillId="2" borderId="33" xfId="0" applyNumberFormat="1" applyFont="1" applyFill="1" applyBorder="1" applyAlignment="1" applyProtection="1">
      <alignment horizontal="center" vertical="center" wrapText="1"/>
      <protection locked="0"/>
    </xf>
    <xf numFmtId="3" fontId="9" fillId="2" borderId="34" xfId="0" applyNumberFormat="1" applyFont="1" applyFill="1" applyBorder="1" applyAlignment="1" applyProtection="1">
      <alignment horizontal="center" vertical="center" wrapText="1"/>
      <protection locked="0"/>
    </xf>
    <xf numFmtId="3" fontId="9" fillId="2" borderId="25" xfId="0" applyNumberFormat="1" applyFont="1" applyFill="1" applyBorder="1" applyAlignment="1" applyProtection="1">
      <alignment vertical="center" wrapText="1"/>
      <protection locked="0"/>
    </xf>
    <xf numFmtId="3" fontId="9" fillId="2" borderId="26" xfId="0" applyNumberFormat="1" applyFont="1" applyFill="1" applyBorder="1" applyAlignment="1" applyProtection="1">
      <alignment vertical="center" wrapText="1"/>
      <protection locked="0"/>
    </xf>
    <xf numFmtId="3" fontId="9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5" fillId="2" borderId="14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3" fontId="1" fillId="2" borderId="25" xfId="0" applyNumberFormat="1" applyFont="1" applyFill="1" applyBorder="1" applyAlignment="1" applyProtection="1">
      <alignment horizontal="center" vertical="center" wrapText="1"/>
      <protection locked="0"/>
    </xf>
    <xf numFmtId="3" fontId="1" fillId="2" borderId="26" xfId="0" applyNumberFormat="1" applyFont="1" applyFill="1" applyBorder="1" applyAlignment="1" applyProtection="1">
      <alignment horizontal="center" vertical="center" wrapText="1"/>
      <protection locked="0"/>
    </xf>
    <xf numFmtId="3" fontId="1" fillId="2" borderId="25" xfId="0" applyNumberFormat="1" applyFont="1" applyFill="1" applyBorder="1" applyAlignment="1" applyProtection="1">
      <alignment vertical="center" wrapText="1"/>
      <protection locked="0"/>
    </xf>
    <xf numFmtId="3" fontId="1" fillId="2" borderId="26" xfId="0" applyNumberFormat="1" applyFont="1" applyFill="1" applyBorder="1" applyAlignment="1" applyProtection="1">
      <alignment vertical="center" wrapText="1"/>
      <protection locked="0"/>
    </xf>
    <xf numFmtId="0" fontId="5" fillId="2" borderId="25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3" fontId="1" fillId="2" borderId="27" xfId="0" applyNumberFormat="1" applyFont="1" applyFill="1" applyBorder="1" applyAlignment="1" applyProtection="1">
      <alignment horizontal="center" vertical="center" wrapText="1"/>
      <protection locked="0"/>
    </xf>
    <xf numFmtId="3" fontId="1" fillId="2" borderId="23" xfId="0" applyNumberFormat="1" applyFont="1" applyFill="1" applyBorder="1" applyAlignment="1" applyProtection="1">
      <alignment horizontal="center" vertical="center" wrapText="1"/>
      <protection locked="0"/>
    </xf>
    <xf numFmtId="3" fontId="1" fillId="2" borderId="31" xfId="0" applyNumberFormat="1" applyFont="1" applyFill="1" applyBorder="1" applyAlignment="1" applyProtection="1">
      <alignment horizontal="center" vertical="center" wrapText="1"/>
      <protection locked="0"/>
    </xf>
    <xf numFmtId="3" fontId="1" fillId="2" borderId="32" xfId="0" applyNumberFormat="1" applyFont="1" applyFill="1" applyBorder="1" applyAlignment="1" applyProtection="1">
      <alignment horizontal="center" vertical="center" wrapText="1"/>
      <protection locked="0"/>
    </xf>
    <xf numFmtId="3" fontId="1" fillId="2" borderId="33" xfId="0" applyNumberFormat="1" applyFont="1" applyFill="1" applyBorder="1" applyAlignment="1" applyProtection="1">
      <alignment horizontal="center" vertical="center" wrapText="1"/>
      <protection locked="0"/>
    </xf>
    <xf numFmtId="3" fontId="1" fillId="2" borderId="34" xfId="0" applyNumberFormat="1" applyFont="1" applyFill="1" applyBorder="1" applyAlignment="1" applyProtection="1">
      <alignment horizontal="center" vertical="center" wrapText="1"/>
      <protection locked="0"/>
    </xf>
  </cellXfs>
  <cellStyles count="4">
    <cellStyle name="Millares" xfId="1" builtinId="3"/>
    <cellStyle name="Normal" xfId="0" builtinId="0"/>
    <cellStyle name="Normal 2" xfId="3"/>
    <cellStyle name="Porcentaje" xfId="2" builtinId="5"/>
  </cellStyles>
  <dxfs count="5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tabSelected="1" workbookViewId="0">
      <selection activeCell="I31" sqref="I31"/>
    </sheetView>
  </sheetViews>
  <sheetFormatPr baseColWidth="10" defaultRowHeight="13.5" customHeight="1" x14ac:dyDescent="0.2"/>
  <cols>
    <col min="1" max="1" width="6.140625" customWidth="1"/>
    <col min="2" max="2" width="7" customWidth="1"/>
    <col min="3" max="3" width="9.140625" customWidth="1"/>
    <col min="4" max="4" width="12.42578125" customWidth="1"/>
    <col min="5" max="5" width="11.42578125" bestFit="1" customWidth="1"/>
    <col min="6" max="6" width="9.140625" customWidth="1"/>
    <col min="7" max="8" width="10.140625" bestFit="1" customWidth="1"/>
    <col min="9" max="9" width="10.42578125" customWidth="1"/>
    <col min="10" max="10" width="13.7109375" customWidth="1"/>
    <col min="11" max="11" width="10.140625" bestFit="1" customWidth="1"/>
    <col min="12" max="12" width="9" customWidth="1"/>
    <col min="13" max="13" width="13" customWidth="1"/>
    <col min="15" max="15" width="12.42578125" customWidth="1"/>
    <col min="16" max="16" width="14.42578125" customWidth="1"/>
  </cols>
  <sheetData>
    <row r="1" spans="1:17" ht="12.75" customHeight="1" x14ac:dyDescent="0.2"/>
    <row r="2" spans="1:17" ht="12.75" customHeight="1" x14ac:dyDescent="0.2">
      <c r="B2" s="31"/>
      <c r="C2" s="31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5"/>
      <c r="P2" s="155"/>
    </row>
    <row r="3" spans="1:17" ht="30.95" customHeight="1" x14ac:dyDescent="0.2">
      <c r="A3" t="s">
        <v>0</v>
      </c>
      <c r="B3" s="176" t="s">
        <v>15</v>
      </c>
      <c r="C3" s="177"/>
      <c r="D3" s="178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80"/>
      <c r="P3" s="181"/>
    </row>
    <row r="4" spans="1:17" ht="18" customHeight="1" thickBot="1" x14ac:dyDescent="0.25">
      <c r="B4" s="182" t="s">
        <v>50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6"/>
    </row>
    <row r="5" spans="1:17" ht="21.95" customHeight="1" x14ac:dyDescent="0.2">
      <c r="B5" s="184" t="s">
        <v>47</v>
      </c>
      <c r="C5" s="185"/>
      <c r="D5" s="200" t="s">
        <v>1</v>
      </c>
      <c r="E5" s="186" t="s">
        <v>3</v>
      </c>
      <c r="F5" s="186"/>
      <c r="G5" s="186"/>
      <c r="H5" s="186"/>
      <c r="I5" s="202" t="s">
        <v>4</v>
      </c>
      <c r="J5" s="204" t="s">
        <v>32</v>
      </c>
      <c r="K5" s="206" t="s">
        <v>5</v>
      </c>
      <c r="L5" s="208" t="s">
        <v>6</v>
      </c>
      <c r="M5" s="204" t="s">
        <v>16</v>
      </c>
      <c r="N5" s="192" t="s">
        <v>7</v>
      </c>
      <c r="O5" s="194" t="s">
        <v>8</v>
      </c>
      <c r="P5" s="196" t="s">
        <v>20</v>
      </c>
    </row>
    <row r="6" spans="1:17" ht="43.5" customHeight="1" thickBot="1" x14ac:dyDescent="0.25">
      <c r="B6" s="187" t="s">
        <v>14</v>
      </c>
      <c r="C6" s="188" t="s">
        <v>12</v>
      </c>
      <c r="D6" s="201"/>
      <c r="E6" s="189" t="s">
        <v>9</v>
      </c>
      <c r="F6" s="189" t="s">
        <v>10</v>
      </c>
      <c r="G6" s="189" t="s">
        <v>11</v>
      </c>
      <c r="H6" s="189" t="s">
        <v>2</v>
      </c>
      <c r="I6" s="203"/>
      <c r="J6" s="205"/>
      <c r="K6" s="207"/>
      <c r="L6" s="209"/>
      <c r="M6" s="210"/>
      <c r="N6" s="193"/>
      <c r="O6" s="195"/>
      <c r="P6" s="197"/>
    </row>
    <row r="7" spans="1:17" ht="12.75" customHeight="1" x14ac:dyDescent="0.2">
      <c r="B7" s="156">
        <v>2025</v>
      </c>
      <c r="C7" s="157">
        <v>1</v>
      </c>
      <c r="D7" s="158">
        <v>801028.67715117859</v>
      </c>
      <c r="E7" s="158">
        <v>7808.6232461728996</v>
      </c>
      <c r="F7" s="158">
        <v>1225.3027461153536</v>
      </c>
      <c r="G7" s="158">
        <v>3035.1007534866299</v>
      </c>
      <c r="H7" s="158">
        <f>SUM(E7:G7)</f>
        <v>12069.026745774883</v>
      </c>
      <c r="I7" s="159">
        <v>13425.356202306186</v>
      </c>
      <c r="J7" s="160">
        <v>1219.2565632000001</v>
      </c>
      <c r="K7" s="160">
        <v>102391.9589945</v>
      </c>
      <c r="L7" s="160">
        <v>142.41810620000001</v>
      </c>
      <c r="M7" s="160">
        <v>3.4187113000000005</v>
      </c>
      <c r="N7" s="161">
        <f t="shared" ref="N7:N17" si="0">+M7+L7+K7+J7+I7+H7+D7</f>
        <v>930280.11247445969</v>
      </c>
      <c r="O7" s="162">
        <v>20426.028712518899</v>
      </c>
      <c r="P7" s="163">
        <f>+O7+N7</f>
        <v>950706.14118697855</v>
      </c>
      <c r="Q7" s="43"/>
    </row>
    <row r="8" spans="1:17" ht="12.75" customHeight="1" x14ac:dyDescent="0.2">
      <c r="B8" s="164"/>
      <c r="C8" s="157">
        <v>2</v>
      </c>
      <c r="D8" s="158">
        <v>766738.37267896091</v>
      </c>
      <c r="E8" s="158">
        <v>17425.266143778164</v>
      </c>
      <c r="F8" s="158">
        <v>2696.6794888965746</v>
      </c>
      <c r="G8" s="158">
        <v>1636.680733051066</v>
      </c>
      <c r="H8" s="158">
        <f>SUM(E8:G8)</f>
        <v>21758.626365725806</v>
      </c>
      <c r="I8" s="159">
        <v>9909.1074886045863</v>
      </c>
      <c r="J8" s="160">
        <v>713.5305543999998</v>
      </c>
      <c r="K8" s="160">
        <v>98963.657799599998</v>
      </c>
      <c r="L8" s="160">
        <v>553.87544799999807</v>
      </c>
      <c r="M8" s="160">
        <v>3.4665717000000007</v>
      </c>
      <c r="N8" s="161">
        <f t="shared" si="0"/>
        <v>898640.63690699125</v>
      </c>
      <c r="O8" s="165">
        <v>22380.4617729696</v>
      </c>
      <c r="P8" s="163">
        <f t="shared" ref="P8:P18" si="1">+O8+N8</f>
        <v>921021.09867996082</v>
      </c>
      <c r="Q8" s="43"/>
    </row>
    <row r="9" spans="1:17" ht="12.75" customHeight="1" x14ac:dyDescent="0.2">
      <c r="B9" s="164"/>
      <c r="C9" s="157">
        <v>3</v>
      </c>
      <c r="D9" s="158">
        <v>730649.20040879992</v>
      </c>
      <c r="E9" s="158">
        <v>105492.7954614052</v>
      </c>
      <c r="F9" s="158">
        <v>15231.851738390158</v>
      </c>
      <c r="G9" s="158">
        <v>1682.1245301067802</v>
      </c>
      <c r="H9" s="158">
        <f>SUM(E9:G9)</f>
        <v>122406.77172990215</v>
      </c>
      <c r="I9" s="160">
        <v>101253.38111747667</v>
      </c>
      <c r="J9" s="160">
        <v>966.68807409999977</v>
      </c>
      <c r="K9" s="160">
        <v>102402.03380359999</v>
      </c>
      <c r="L9" s="161">
        <v>3862.1718405875431</v>
      </c>
      <c r="M9" s="161">
        <v>4.3142547000000002</v>
      </c>
      <c r="N9" s="161">
        <f t="shared" si="0"/>
        <v>1061544.5612291663</v>
      </c>
      <c r="O9" s="166">
        <v>21903.072734946902</v>
      </c>
      <c r="P9" s="163">
        <f t="shared" si="1"/>
        <v>1083447.6339641132</v>
      </c>
      <c r="Q9" s="43"/>
    </row>
    <row r="10" spans="1:17" ht="12.75" customHeight="1" x14ac:dyDescent="0.2">
      <c r="B10" s="164"/>
      <c r="C10" s="157">
        <v>4</v>
      </c>
      <c r="D10" s="158">
        <v>829273.77245297004</v>
      </c>
      <c r="E10" s="158">
        <v>20187.960678541211</v>
      </c>
      <c r="F10" s="158">
        <v>3538.7749291121199</v>
      </c>
      <c r="G10" s="158">
        <v>54067.50033970151</v>
      </c>
      <c r="H10" s="158">
        <f>SUM(E10:G10)</f>
        <v>77794.235947354842</v>
      </c>
      <c r="I10" s="160">
        <v>53248.923106243463</v>
      </c>
      <c r="J10" s="160">
        <v>1077.3409116</v>
      </c>
      <c r="K10" s="160">
        <v>115026.90738129998</v>
      </c>
      <c r="L10" s="160">
        <v>623.13129155625029</v>
      </c>
      <c r="M10" s="160">
        <v>3.1581644000000004</v>
      </c>
      <c r="N10" s="161">
        <f t="shared" si="0"/>
        <v>1077047.4692554246</v>
      </c>
      <c r="O10" s="162">
        <v>27883.850826141865</v>
      </c>
      <c r="P10" s="163">
        <f t="shared" si="1"/>
        <v>1104931.3200815665</v>
      </c>
      <c r="Q10" s="43"/>
    </row>
    <row r="11" spans="1:17" ht="12.75" customHeight="1" x14ac:dyDescent="0.2">
      <c r="B11" s="164"/>
      <c r="C11" s="157">
        <v>5</v>
      </c>
      <c r="D11" s="158">
        <v>872228.18980384036</v>
      </c>
      <c r="E11" s="159">
        <v>50687.812644970982</v>
      </c>
      <c r="F11" s="159">
        <v>7442.225009260902</v>
      </c>
      <c r="G11" s="159">
        <v>7011.9084164804372</v>
      </c>
      <c r="H11" s="158">
        <f>SUM(E11:G11)</f>
        <v>65141.946070712322</v>
      </c>
      <c r="I11" s="159">
        <v>76307.439488083779</v>
      </c>
      <c r="J11" s="159">
        <v>1503.5235562000003</v>
      </c>
      <c r="K11" s="159">
        <v>119582.71594970002</v>
      </c>
      <c r="L11" s="159">
        <v>1677.9341905279277</v>
      </c>
      <c r="M11" s="160">
        <v>4.6059219000000002</v>
      </c>
      <c r="N11" s="161">
        <f t="shared" si="0"/>
        <v>1136446.3549809644</v>
      </c>
      <c r="O11" s="161">
        <v>26389.475092774974</v>
      </c>
      <c r="P11" s="163">
        <f t="shared" si="1"/>
        <v>1162835.8300737394</v>
      </c>
      <c r="Q11" s="43"/>
    </row>
    <row r="12" spans="1:17" ht="12.75" customHeight="1" x14ac:dyDescent="0.2">
      <c r="B12" s="164"/>
      <c r="C12" s="157">
        <v>6</v>
      </c>
      <c r="D12" s="158">
        <v>860880.73551355046</v>
      </c>
      <c r="E12" s="158">
        <v>49961.956387510989</v>
      </c>
      <c r="F12" s="158">
        <v>7342.0355327862671</v>
      </c>
      <c r="G12" s="158">
        <v>35243.714194486587</v>
      </c>
      <c r="H12" s="158">
        <f t="shared" ref="H12:H18" si="2">+G12+F12+E12</f>
        <v>92547.706114783839</v>
      </c>
      <c r="I12" s="160">
        <v>43481.929126808012</v>
      </c>
      <c r="J12" s="160">
        <v>1119.4755954</v>
      </c>
      <c r="K12" s="160">
        <v>120786.95787329999</v>
      </c>
      <c r="L12" s="160">
        <v>1641.3997763250013</v>
      </c>
      <c r="M12" s="160">
        <v>3.5396646000000005</v>
      </c>
      <c r="N12" s="161">
        <f t="shared" si="0"/>
        <v>1120461.7436647674</v>
      </c>
      <c r="O12" s="167">
        <v>25478.724661883112</v>
      </c>
      <c r="P12" s="163">
        <f t="shared" si="1"/>
        <v>1145940.4683266506</v>
      </c>
      <c r="Q12" s="43"/>
    </row>
    <row r="13" spans="1:17" ht="12.75" customHeight="1" x14ac:dyDescent="0.2">
      <c r="B13" s="164"/>
      <c r="C13" s="157">
        <v>7</v>
      </c>
      <c r="D13" s="158">
        <v>907341.98639136017</v>
      </c>
      <c r="E13" s="158">
        <v>22869.196239962977</v>
      </c>
      <c r="F13" s="158">
        <v>4141.4157332251389</v>
      </c>
      <c r="G13" s="158">
        <v>4412.3739487769008</v>
      </c>
      <c r="H13" s="158">
        <f t="shared" si="2"/>
        <v>31422.985921965017</v>
      </c>
      <c r="I13" s="160">
        <v>117595.26900584192</v>
      </c>
      <c r="J13" s="160">
        <v>1443.8504829000001</v>
      </c>
      <c r="K13" s="160">
        <v>127345.1972238</v>
      </c>
      <c r="L13" s="160">
        <v>638.39585946875002</v>
      </c>
      <c r="M13" s="160">
        <v>3.4515791</v>
      </c>
      <c r="N13" s="161">
        <f t="shared" si="0"/>
        <v>1185791.1364644358</v>
      </c>
      <c r="O13" s="167">
        <v>29967.133753746089</v>
      </c>
      <c r="P13" s="163">
        <f t="shared" si="1"/>
        <v>1215758.2702181819</v>
      </c>
      <c r="Q13" s="43"/>
    </row>
    <row r="14" spans="1:17" ht="12.75" customHeight="1" x14ac:dyDescent="0.2">
      <c r="B14" s="164"/>
      <c r="C14" s="157">
        <v>8</v>
      </c>
      <c r="D14" s="158">
        <v>940605.70219512819</v>
      </c>
      <c r="E14" s="158">
        <v>52021.675875732268</v>
      </c>
      <c r="F14" s="158">
        <v>7979.4089241362735</v>
      </c>
      <c r="G14" s="158">
        <v>3486.3388896263709</v>
      </c>
      <c r="H14" s="158">
        <f t="shared" si="2"/>
        <v>63487.423689494914</v>
      </c>
      <c r="I14" s="158">
        <v>34919.01143097067</v>
      </c>
      <c r="J14" s="160">
        <v>2208.9543152000001</v>
      </c>
      <c r="K14" s="160">
        <v>138269.14054669999</v>
      </c>
      <c r="L14" s="160">
        <v>1704.5485587781218</v>
      </c>
      <c r="M14" s="160">
        <v>4.0484603000000003</v>
      </c>
      <c r="N14" s="161">
        <f t="shared" si="0"/>
        <v>1181198.8291965718</v>
      </c>
      <c r="O14" s="167">
        <v>27800.819650856683</v>
      </c>
      <c r="P14" s="163">
        <f t="shared" si="1"/>
        <v>1208999.6488474286</v>
      </c>
      <c r="Q14" s="43"/>
    </row>
    <row r="15" spans="1:17" ht="12.75" customHeight="1" x14ac:dyDescent="0.2">
      <c r="B15" s="164"/>
      <c r="C15" s="157">
        <v>9</v>
      </c>
      <c r="D15" s="158">
        <v>950550.07445641002</v>
      </c>
      <c r="E15" s="158">
        <v>19405.45902085194</v>
      </c>
      <c r="F15" s="158">
        <v>3258.5570338298071</v>
      </c>
      <c r="G15" s="158">
        <v>35209.942958784472</v>
      </c>
      <c r="H15" s="158">
        <f t="shared" si="2"/>
        <v>57873.959013466214</v>
      </c>
      <c r="I15" s="160">
        <v>119778.8875622248</v>
      </c>
      <c r="J15" s="160">
        <v>1591.7518577000001</v>
      </c>
      <c r="K15" s="161">
        <v>136040.82162799998</v>
      </c>
      <c r="L15" s="160">
        <v>537.3544635999998</v>
      </c>
      <c r="M15" s="165">
        <v>5.0639438999999999</v>
      </c>
      <c r="N15" s="161">
        <f t="shared" si="0"/>
        <v>1266377.9129253011</v>
      </c>
      <c r="O15" s="167">
        <v>29175.531285809488</v>
      </c>
      <c r="P15" s="163">
        <f t="shared" si="1"/>
        <v>1295553.4442111107</v>
      </c>
      <c r="Q15" s="43"/>
    </row>
    <row r="16" spans="1:17" ht="12.75" customHeight="1" x14ac:dyDescent="0.2">
      <c r="B16" s="164"/>
      <c r="C16" s="157">
        <v>10</v>
      </c>
      <c r="D16" s="158">
        <v>992273.79390946869</v>
      </c>
      <c r="E16" s="158">
        <v>21888.109406932424</v>
      </c>
      <c r="F16" s="158">
        <v>2139.2830128016476</v>
      </c>
      <c r="G16" s="158">
        <v>3253.9757040947015</v>
      </c>
      <c r="H16" s="158">
        <f t="shared" si="2"/>
        <v>27281.368123828775</v>
      </c>
      <c r="I16" s="160">
        <v>36186.130137530548</v>
      </c>
      <c r="J16" s="160">
        <v>1792.862554</v>
      </c>
      <c r="K16" s="160">
        <v>133903.27931010001</v>
      </c>
      <c r="L16" s="160">
        <v>632.98541769374981</v>
      </c>
      <c r="M16" s="165">
        <v>4.8395464000000006</v>
      </c>
      <c r="N16" s="161">
        <f t="shared" si="0"/>
        <v>1192075.2589990217</v>
      </c>
      <c r="O16" s="162">
        <v>29106.861938145055</v>
      </c>
      <c r="P16" s="163">
        <f t="shared" si="1"/>
        <v>1221182.1209371667</v>
      </c>
      <c r="Q16" s="43"/>
    </row>
    <row r="17" spans="1:17" ht="12.75" customHeight="1" x14ac:dyDescent="0.2">
      <c r="B17" s="164"/>
      <c r="C17" s="157">
        <v>11</v>
      </c>
      <c r="D17" s="158">
        <v>948570.50418139657</v>
      </c>
      <c r="E17" s="158">
        <v>62749.233186856174</v>
      </c>
      <c r="F17" s="158">
        <v>1617.2803390595045</v>
      </c>
      <c r="G17" s="158">
        <v>7423.9613264011914</v>
      </c>
      <c r="H17" s="158">
        <f t="shared" si="2"/>
        <v>71790.474852316867</v>
      </c>
      <c r="I17" s="160">
        <v>117718.48604831232</v>
      </c>
      <c r="J17" s="160">
        <v>1616.6720078999999</v>
      </c>
      <c r="K17" s="160">
        <v>146538.6383473</v>
      </c>
      <c r="L17" s="160">
        <v>2116.5143400499987</v>
      </c>
      <c r="M17" s="160">
        <v>3.9833424000000002</v>
      </c>
      <c r="N17" s="161">
        <f t="shared" si="0"/>
        <v>1288355.2731196757</v>
      </c>
      <c r="O17" s="168">
        <v>28440.556225871776</v>
      </c>
      <c r="P17" s="163">
        <f t="shared" si="1"/>
        <v>1316795.8293455474</v>
      </c>
      <c r="Q17" s="43"/>
    </row>
    <row r="18" spans="1:17" thickBot="1" x14ac:dyDescent="0.25">
      <c r="B18" s="164"/>
      <c r="C18" s="157">
        <v>12</v>
      </c>
      <c r="D18" s="158">
        <v>1031334.0161565744</v>
      </c>
      <c r="E18" s="158">
        <v>33008.899118033907</v>
      </c>
      <c r="F18" s="158">
        <v>2413.5518548952236</v>
      </c>
      <c r="G18" s="158">
        <v>55434.346875725161</v>
      </c>
      <c r="H18" s="158">
        <f t="shared" si="2"/>
        <v>90856.7978486543</v>
      </c>
      <c r="I18" s="160">
        <v>37657.58562403699</v>
      </c>
      <c r="J18" s="160">
        <v>3310.7995761999991</v>
      </c>
      <c r="K18" s="160">
        <v>127114.70454519999</v>
      </c>
      <c r="L18" s="160">
        <v>1059.5738032874988</v>
      </c>
      <c r="M18" s="160">
        <v>4.5120499000000018</v>
      </c>
      <c r="N18" s="161">
        <f t="shared" ref="N18" si="3">+M18+L18+K18++J18+I18+H18+D18</f>
        <v>1291337.9896038531</v>
      </c>
      <c r="O18" s="162">
        <v>28813.014094174821</v>
      </c>
      <c r="P18" s="163">
        <f t="shared" si="1"/>
        <v>1320151.0036980279</v>
      </c>
      <c r="Q18" s="43"/>
    </row>
    <row r="19" spans="1:17" ht="24.95" customHeight="1" thickBot="1" x14ac:dyDescent="0.25">
      <c r="A19" s="43"/>
      <c r="B19" s="198" t="s">
        <v>2</v>
      </c>
      <c r="C19" s="199"/>
      <c r="D19" s="191">
        <f t="shared" ref="D19:P19" si="4">SUM(D7:D18)</f>
        <v>10631475.025299637</v>
      </c>
      <c r="E19" s="191">
        <f t="shared" si="4"/>
        <v>463506.98741074919</v>
      </c>
      <c r="F19" s="191">
        <f t="shared" si="4"/>
        <v>59026.366342508984</v>
      </c>
      <c r="G19" s="191">
        <f t="shared" si="4"/>
        <v>211897.96867072181</v>
      </c>
      <c r="H19" s="191">
        <f t="shared" si="4"/>
        <v>734431.32242397999</v>
      </c>
      <c r="I19" s="191">
        <f t="shared" si="4"/>
        <v>761481.50633843988</v>
      </c>
      <c r="J19" s="191">
        <f t="shared" si="4"/>
        <v>18564.706048799999</v>
      </c>
      <c r="K19" s="191">
        <f t="shared" si="4"/>
        <v>1468366.0134031</v>
      </c>
      <c r="L19" s="191">
        <f t="shared" si="4"/>
        <v>15190.30309607484</v>
      </c>
      <c r="M19" s="191">
        <f t="shared" si="4"/>
        <v>48.402210600000004</v>
      </c>
      <c r="N19" s="191">
        <f t="shared" si="4"/>
        <v>13629557.278820632</v>
      </c>
      <c r="O19" s="191">
        <f t="shared" si="4"/>
        <v>317765.53074983926</v>
      </c>
      <c r="P19" s="191">
        <f t="shared" si="4"/>
        <v>13947322.809570473</v>
      </c>
    </row>
    <row r="20" spans="1:17" s="169" customFormat="1" ht="12.75" customHeight="1" x14ac:dyDescent="0.2">
      <c r="B20" s="170" t="s">
        <v>43</v>
      </c>
      <c r="C20" s="171"/>
      <c r="D20" s="172"/>
      <c r="E20" s="173"/>
      <c r="F20" s="57"/>
      <c r="P20" s="174"/>
    </row>
    <row r="21" spans="1:17" s="154" customFormat="1" ht="12.75" customHeight="1" x14ac:dyDescent="0.2">
      <c r="C21" s="21"/>
      <c r="D21" s="31"/>
      <c r="E21" s="175"/>
      <c r="F21" s="155"/>
    </row>
    <row r="22" spans="1:17" ht="12.75" customHeight="1" x14ac:dyDescent="0.2">
      <c r="C22" t="s">
        <v>0</v>
      </c>
      <c r="D22" s="43"/>
      <c r="E22" s="43"/>
      <c r="F22" s="43"/>
      <c r="G22" s="43"/>
      <c r="H22" s="43"/>
      <c r="I22" s="43"/>
      <c r="J22" s="43"/>
      <c r="K22" s="43"/>
      <c r="L22" s="43"/>
      <c r="M22" s="43"/>
      <c r="O22" s="43"/>
      <c r="P22" s="43"/>
    </row>
    <row r="23" spans="1:17" ht="12.75" customHeight="1" x14ac:dyDescent="0.2">
      <c r="G23" s="43"/>
      <c r="H23" s="43"/>
    </row>
  </sheetData>
  <mergeCells count="10">
    <mergeCell ref="N5:N6"/>
    <mergeCell ref="O5:O6"/>
    <mergeCell ref="P5:P6"/>
    <mergeCell ref="B19:C19"/>
    <mergeCell ref="D5:D6"/>
    <mergeCell ref="I5:I6"/>
    <mergeCell ref="J5:J6"/>
    <mergeCell ref="K5:K6"/>
    <mergeCell ref="L5:L6"/>
    <mergeCell ref="M5:M6"/>
  </mergeCells>
  <conditionalFormatting sqref="E20 B19:C19 E19:P19 K7:P8 I7:J9 D7:H10 I10:I18 P9:P18 J12:O18 K9:M9 D12:H13 E11:H11 D15:D19 E14:H18 J10:M11 N9:O11">
    <cfRule type="cellIs" dxfId="6" priority="7" stopIfTrue="1" operator="equal">
      <formula>0</formula>
    </cfRule>
  </conditionalFormatting>
  <conditionalFormatting sqref="O11">
    <cfRule type="cellIs" dxfId="5" priority="6" stopIfTrue="1" operator="equal">
      <formula>0</formula>
    </cfRule>
  </conditionalFormatting>
  <conditionalFormatting sqref="D8">
    <cfRule type="cellIs" dxfId="4" priority="5" stopIfTrue="1" operator="equal">
      <formula>0</formula>
    </cfRule>
  </conditionalFormatting>
  <conditionalFormatting sqref="I14">
    <cfRule type="cellIs" dxfId="3" priority="4" stopIfTrue="1" operator="equal">
      <formula>0</formula>
    </cfRule>
  </conditionalFormatting>
  <conditionalFormatting sqref="I14">
    <cfRule type="cellIs" dxfId="2" priority="3" stopIfTrue="1" operator="equal">
      <formula>0</formula>
    </cfRule>
  </conditionalFormatting>
  <conditionalFormatting sqref="D11">
    <cfRule type="cellIs" dxfId="1" priority="2" stopIfTrue="1" operator="equal">
      <formula>0</formula>
    </cfRule>
  </conditionalFormatting>
  <conditionalFormatting sqref="D14">
    <cfRule type="cellIs" dxfId="0" priority="1" stopIfTrue="1" operator="equal">
      <formula>0</formula>
    </cfRule>
  </conditionalFormatting>
  <pageMargins left="0.75" right="0.75" top="1" bottom="1" header="0" footer="0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>
      <selection activeCell="J25" sqref="J25"/>
    </sheetView>
  </sheetViews>
  <sheetFormatPr baseColWidth="10" defaultRowHeight="13.5" customHeight="1" x14ac:dyDescent="0.2"/>
  <cols>
    <col min="1" max="1" width="6.140625" customWidth="1"/>
    <col min="2" max="2" width="7" customWidth="1"/>
    <col min="3" max="3" width="9.140625" customWidth="1"/>
    <col min="4" max="4" width="12.42578125" customWidth="1"/>
    <col min="5" max="5" width="11.42578125" bestFit="1" customWidth="1"/>
    <col min="6" max="6" width="9.140625" customWidth="1"/>
    <col min="7" max="8" width="10.140625" bestFit="1" customWidth="1"/>
    <col min="9" max="9" width="10.42578125" customWidth="1"/>
    <col min="10" max="10" width="13.7109375" customWidth="1"/>
    <col min="11" max="11" width="10.140625" bestFit="1" customWidth="1"/>
    <col min="12" max="12" width="9" customWidth="1"/>
    <col min="13" max="13" width="13" customWidth="1"/>
    <col min="15" max="15" width="12.42578125" customWidth="1"/>
    <col min="16" max="16" width="14.42578125" customWidth="1"/>
  </cols>
  <sheetData>
    <row r="1" spans="1:17" ht="12.75" customHeight="1" x14ac:dyDescent="0.2"/>
    <row r="2" spans="1:17" ht="12.75" customHeight="1" x14ac:dyDescent="0.2">
      <c r="B2" s="31"/>
      <c r="C2" s="31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5"/>
      <c r="P2" s="155"/>
    </row>
    <row r="3" spans="1:17" ht="30.95" customHeight="1" x14ac:dyDescent="0.2">
      <c r="A3" t="s">
        <v>0</v>
      </c>
      <c r="B3" s="176" t="s">
        <v>15</v>
      </c>
      <c r="C3" s="177"/>
      <c r="D3" s="178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80"/>
      <c r="P3" s="181"/>
    </row>
    <row r="4" spans="1:17" ht="18" customHeight="1" thickBot="1" x14ac:dyDescent="0.25">
      <c r="B4" s="182" t="s">
        <v>48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6"/>
    </row>
    <row r="5" spans="1:17" ht="21.95" customHeight="1" x14ac:dyDescent="0.2">
      <c r="B5" s="184" t="s">
        <v>47</v>
      </c>
      <c r="C5" s="185"/>
      <c r="D5" s="200" t="s">
        <v>1</v>
      </c>
      <c r="E5" s="186" t="s">
        <v>3</v>
      </c>
      <c r="F5" s="186"/>
      <c r="G5" s="186"/>
      <c r="H5" s="186"/>
      <c r="I5" s="202" t="s">
        <v>4</v>
      </c>
      <c r="J5" s="204" t="s">
        <v>32</v>
      </c>
      <c r="K5" s="206" t="s">
        <v>5</v>
      </c>
      <c r="L5" s="208" t="s">
        <v>6</v>
      </c>
      <c r="M5" s="204" t="s">
        <v>16</v>
      </c>
      <c r="N5" s="192" t="s">
        <v>7</v>
      </c>
      <c r="O5" s="194" t="s">
        <v>8</v>
      </c>
      <c r="P5" s="196" t="s">
        <v>20</v>
      </c>
    </row>
    <row r="6" spans="1:17" ht="43.5" customHeight="1" thickBot="1" x14ac:dyDescent="0.25">
      <c r="B6" s="187" t="s">
        <v>14</v>
      </c>
      <c r="C6" s="188" t="s">
        <v>12</v>
      </c>
      <c r="D6" s="201"/>
      <c r="E6" s="189" t="s">
        <v>9</v>
      </c>
      <c r="F6" s="189" t="s">
        <v>10</v>
      </c>
      <c r="G6" s="189" t="s">
        <v>11</v>
      </c>
      <c r="H6" s="189" t="s">
        <v>2</v>
      </c>
      <c r="I6" s="203"/>
      <c r="J6" s="205"/>
      <c r="K6" s="207"/>
      <c r="L6" s="209"/>
      <c r="M6" s="210"/>
      <c r="N6" s="193"/>
      <c r="O6" s="195"/>
      <c r="P6" s="197"/>
    </row>
    <row r="7" spans="1:17" ht="12.75" customHeight="1" x14ac:dyDescent="0.2">
      <c r="B7" s="156">
        <v>2024</v>
      </c>
      <c r="C7" s="157">
        <v>1</v>
      </c>
      <c r="D7" s="158">
        <v>428334.40793718153</v>
      </c>
      <c r="E7" s="158">
        <v>2604.0253990949059</v>
      </c>
      <c r="F7" s="158">
        <v>463.04875019510678</v>
      </c>
      <c r="G7" s="158">
        <v>844.36743833669254</v>
      </c>
      <c r="H7" s="158">
        <f>SUM(E7:G7)</f>
        <v>3911.4415876267049</v>
      </c>
      <c r="I7" s="159">
        <v>6350.7500761260217</v>
      </c>
      <c r="J7" s="160">
        <v>814.89154050000013</v>
      </c>
      <c r="K7" s="160">
        <v>34269.594543800013</v>
      </c>
      <c r="L7" s="160">
        <v>53.062097099999967</v>
      </c>
      <c r="M7" s="160">
        <v>0.71657130000000002</v>
      </c>
      <c r="N7" s="161">
        <f t="shared" ref="N7:N17" si="0">+M7+L7+K7+J7+I7+H7+D7</f>
        <v>473734.8643536343</v>
      </c>
      <c r="O7" s="162">
        <v>7159.6071399472776</v>
      </c>
      <c r="P7" s="163">
        <f>+O7+N7</f>
        <v>480894.4714935816</v>
      </c>
      <c r="Q7" s="43"/>
    </row>
    <row r="8" spans="1:17" ht="12.75" customHeight="1" x14ac:dyDescent="0.2">
      <c r="B8" s="164"/>
      <c r="C8" s="157">
        <v>2</v>
      </c>
      <c r="D8" s="158">
        <v>486570.59388966521</v>
      </c>
      <c r="E8" s="158">
        <v>66551.362598645428</v>
      </c>
      <c r="F8" s="158">
        <v>10508.370626208552</v>
      </c>
      <c r="G8" s="158">
        <v>1894.7834967692791</v>
      </c>
      <c r="H8" s="158">
        <f>SUM(E8:G8)</f>
        <v>78954.516721623251</v>
      </c>
      <c r="I8" s="159">
        <v>3984.2145292607552</v>
      </c>
      <c r="J8" s="160">
        <v>354.97051920000001</v>
      </c>
      <c r="K8" s="160">
        <v>37859.743546199992</v>
      </c>
      <c r="L8" s="160">
        <v>2295.5337689000107</v>
      </c>
      <c r="M8" s="160">
        <v>0.62640150488343538</v>
      </c>
      <c r="N8" s="161">
        <f t="shared" si="0"/>
        <v>610020.19937635411</v>
      </c>
      <c r="O8" s="165">
        <v>7265.1277571165774</v>
      </c>
      <c r="P8" s="163">
        <f t="shared" ref="P8:P18" si="1">+O8+N8</f>
        <v>617285.32713347068</v>
      </c>
      <c r="Q8" s="43"/>
    </row>
    <row r="9" spans="1:17" ht="12.75" customHeight="1" x14ac:dyDescent="0.2">
      <c r="B9" s="164"/>
      <c r="C9" s="157">
        <v>3</v>
      </c>
      <c r="D9" s="158">
        <v>645347.34750431264</v>
      </c>
      <c r="E9" s="158">
        <v>23250.800903052987</v>
      </c>
      <c r="F9" s="158">
        <v>3832.6877570848242</v>
      </c>
      <c r="G9" s="158">
        <v>37955.84391297392</v>
      </c>
      <c r="H9" s="158">
        <f>SUM(E9:G9)</f>
        <v>65039.332573111729</v>
      </c>
      <c r="I9" s="160">
        <v>71969.082446199129</v>
      </c>
      <c r="J9" s="160">
        <v>509.19993309999995</v>
      </c>
      <c r="K9" s="160">
        <v>47154.766323800002</v>
      </c>
      <c r="L9" s="161">
        <v>760.80791869999848</v>
      </c>
      <c r="M9" s="161">
        <v>0.61151069999999996</v>
      </c>
      <c r="N9" s="161">
        <f t="shared" si="0"/>
        <v>830781.14820992353</v>
      </c>
      <c r="O9" s="166">
        <v>9414.4641292867909</v>
      </c>
      <c r="P9" s="163">
        <f t="shared" si="1"/>
        <v>840195.61233921035</v>
      </c>
      <c r="Q9" s="43"/>
    </row>
    <row r="10" spans="1:17" ht="12.75" customHeight="1" x14ac:dyDescent="0.2">
      <c r="B10" s="164"/>
      <c r="C10" s="157">
        <v>4</v>
      </c>
      <c r="D10" s="158">
        <v>568904.97079028375</v>
      </c>
      <c r="E10" s="158">
        <v>61394.85087694494</v>
      </c>
      <c r="F10" s="158">
        <v>9093.0055618344486</v>
      </c>
      <c r="G10" s="158">
        <v>3365.2352773456528</v>
      </c>
      <c r="H10" s="158">
        <f>SUM(E10:G10)</f>
        <v>73853.09171612504</v>
      </c>
      <c r="I10" s="160">
        <v>18728.931159545442</v>
      </c>
      <c r="J10" s="160">
        <v>809.76902679999989</v>
      </c>
      <c r="K10" s="160">
        <v>49792.868918199994</v>
      </c>
      <c r="L10" s="160">
        <v>2072.5830882000218</v>
      </c>
      <c r="M10" s="160">
        <v>1.0044763000000001</v>
      </c>
      <c r="N10" s="161">
        <f t="shared" si="0"/>
        <v>714163.21917545423</v>
      </c>
      <c r="O10" s="162">
        <v>12043.157234929737</v>
      </c>
      <c r="P10" s="163">
        <f t="shared" si="1"/>
        <v>726206.37641038396</v>
      </c>
      <c r="Q10" s="43"/>
    </row>
    <row r="11" spans="1:17" ht="12.75" customHeight="1" x14ac:dyDescent="0.2">
      <c r="B11" s="164"/>
      <c r="C11" s="157">
        <v>5</v>
      </c>
      <c r="D11" s="158">
        <v>536788.27046601241</v>
      </c>
      <c r="E11" s="159">
        <v>10601.243827185706</v>
      </c>
      <c r="F11" s="159">
        <v>2400.2317236045255</v>
      </c>
      <c r="G11" s="159">
        <v>2644.2371958386339</v>
      </c>
      <c r="H11" s="158">
        <f>SUM(E11:G11)</f>
        <v>15645.712746628866</v>
      </c>
      <c r="I11" s="159">
        <v>65889.495428703318</v>
      </c>
      <c r="J11" s="159">
        <v>794.26454879999994</v>
      </c>
      <c r="K11" s="159">
        <v>58337.12006049999</v>
      </c>
      <c r="L11" s="159">
        <v>314.73038810000025</v>
      </c>
      <c r="M11" s="160">
        <v>1.7257617999999997</v>
      </c>
      <c r="N11" s="161">
        <f t="shared" si="0"/>
        <v>677771.31940054451</v>
      </c>
      <c r="O11" s="183">
        <v>14296.31988556631</v>
      </c>
      <c r="P11" s="163">
        <f t="shared" si="1"/>
        <v>692067.63928611088</v>
      </c>
      <c r="Q11" s="43"/>
    </row>
    <row r="12" spans="1:17" ht="12.75" customHeight="1" x14ac:dyDescent="0.2">
      <c r="B12" s="164"/>
      <c r="C12" s="157">
        <v>6</v>
      </c>
      <c r="D12" s="158">
        <v>574402.54905865481</v>
      </c>
      <c r="E12" s="158">
        <v>61025.079802860484</v>
      </c>
      <c r="F12" s="158">
        <v>8969.2641033913242</v>
      </c>
      <c r="G12" s="158">
        <v>37369.444538107542</v>
      </c>
      <c r="H12" s="158">
        <f t="shared" ref="H12:H18" si="2">+G12+F12+E12</f>
        <v>107363.78844435935</v>
      </c>
      <c r="I12" s="160">
        <v>13451.332228125253</v>
      </c>
      <c r="J12" s="160">
        <v>740.19177539999998</v>
      </c>
      <c r="K12" s="160">
        <v>69648.603748800015</v>
      </c>
      <c r="L12" s="160">
        <v>2071.4615722000103</v>
      </c>
      <c r="M12" s="160">
        <v>1.5769399999999998</v>
      </c>
      <c r="N12" s="161">
        <f t="shared" si="0"/>
        <v>767679.50376753951</v>
      </c>
      <c r="O12" s="167">
        <v>14321.922839714649</v>
      </c>
      <c r="P12" s="163">
        <f t="shared" si="1"/>
        <v>782001.42660725419</v>
      </c>
      <c r="Q12" s="43"/>
    </row>
    <row r="13" spans="1:17" ht="12.75" customHeight="1" x14ac:dyDescent="0.2">
      <c r="B13" s="164"/>
      <c r="C13" s="157">
        <v>7</v>
      </c>
      <c r="D13" s="158">
        <v>624934.45601933205</v>
      </c>
      <c r="E13" s="158">
        <v>16847.924142741875</v>
      </c>
      <c r="F13" s="158">
        <v>3415.5591809642369</v>
      </c>
      <c r="G13" s="158">
        <v>4092.3230544572612</v>
      </c>
      <c r="H13" s="158">
        <f t="shared" si="2"/>
        <v>24355.806378163372</v>
      </c>
      <c r="I13" s="160">
        <v>72762.490807421244</v>
      </c>
      <c r="J13" s="160">
        <v>861.95311969999989</v>
      </c>
      <c r="K13" s="160">
        <v>65699.369282500018</v>
      </c>
      <c r="L13" s="160">
        <v>501.68721599999952</v>
      </c>
      <c r="M13" s="160">
        <v>1.3371758</v>
      </c>
      <c r="N13" s="161">
        <f t="shared" si="0"/>
        <v>789117.09999891673</v>
      </c>
      <c r="O13" s="167">
        <v>15016.726447715675</v>
      </c>
      <c r="P13" s="163">
        <f t="shared" si="1"/>
        <v>804133.82644663239</v>
      </c>
      <c r="Q13" s="43"/>
    </row>
    <row r="14" spans="1:17" ht="12.75" customHeight="1" x14ac:dyDescent="0.2">
      <c r="B14" s="164"/>
      <c r="C14" s="157">
        <v>8</v>
      </c>
      <c r="D14" s="190">
        <v>660303.13786625513</v>
      </c>
      <c r="E14" s="158">
        <v>64379.694585983518</v>
      </c>
      <c r="F14" s="158">
        <v>9464.4522974904266</v>
      </c>
      <c r="G14" s="158">
        <v>3571.1355075327092</v>
      </c>
      <c r="H14" s="158">
        <f t="shared" si="2"/>
        <v>77415.282391006651</v>
      </c>
      <c r="I14" s="158">
        <v>25281.145240607424</v>
      </c>
      <c r="J14" s="160">
        <v>999.02918379999994</v>
      </c>
      <c r="K14" s="160">
        <v>75659.415322200002</v>
      </c>
      <c r="L14" s="160">
        <v>2023.6396473000034</v>
      </c>
      <c r="M14" s="160">
        <v>1.2893411999999997</v>
      </c>
      <c r="N14" s="161">
        <f t="shared" si="0"/>
        <v>841682.93899236922</v>
      </c>
      <c r="O14" s="167">
        <v>16399.433769186086</v>
      </c>
      <c r="P14" s="163">
        <f t="shared" si="1"/>
        <v>858082.37276155525</v>
      </c>
      <c r="Q14" s="43"/>
    </row>
    <row r="15" spans="1:17" ht="12.75" customHeight="1" x14ac:dyDescent="0.2">
      <c r="B15" s="164"/>
      <c r="C15" s="157">
        <v>9</v>
      </c>
      <c r="D15" s="158">
        <v>680231.72157087573</v>
      </c>
      <c r="E15" s="158">
        <v>18452.993747865788</v>
      </c>
      <c r="F15" s="158">
        <v>2859.9288493987469</v>
      </c>
      <c r="G15" s="158">
        <v>41099.892555230348</v>
      </c>
      <c r="H15" s="158">
        <f t="shared" si="2"/>
        <v>62412.815152494884</v>
      </c>
      <c r="I15" s="160">
        <v>73351.22493074571</v>
      </c>
      <c r="J15" s="160">
        <v>980.30759549999993</v>
      </c>
      <c r="K15" s="161">
        <v>83515.321917499998</v>
      </c>
      <c r="L15" s="160">
        <v>554.5861445999999</v>
      </c>
      <c r="M15" s="165">
        <v>2.0114792000000001</v>
      </c>
      <c r="N15" s="161">
        <f t="shared" si="0"/>
        <v>901047.98879091628</v>
      </c>
      <c r="O15" s="167">
        <v>18302.831536959653</v>
      </c>
      <c r="P15" s="163">
        <f t="shared" si="1"/>
        <v>919350.8203278759</v>
      </c>
      <c r="Q15" s="43"/>
    </row>
    <row r="16" spans="1:17" ht="12.75" customHeight="1" x14ac:dyDescent="0.2">
      <c r="B16" s="164"/>
      <c r="C16" s="157">
        <v>10</v>
      </c>
      <c r="D16" s="158">
        <v>732376.79707604437</v>
      </c>
      <c r="E16" s="158">
        <v>107530.39730304091</v>
      </c>
      <c r="F16" s="158">
        <v>2034.7813540680622</v>
      </c>
      <c r="G16" s="158">
        <v>3490.191837825394</v>
      </c>
      <c r="H16" s="158">
        <f t="shared" si="2"/>
        <v>113055.37049493437</v>
      </c>
      <c r="I16" s="160">
        <v>17084.737327424802</v>
      </c>
      <c r="J16" s="160">
        <v>1350.4729053000001</v>
      </c>
      <c r="K16" s="160">
        <v>84464.970261900016</v>
      </c>
      <c r="L16" s="160">
        <v>3606.7341353000002</v>
      </c>
      <c r="M16" s="165">
        <v>1.7473102999999999</v>
      </c>
      <c r="N16" s="161">
        <f t="shared" si="0"/>
        <v>951940.82951120357</v>
      </c>
      <c r="O16" s="162">
        <v>19327.687017240867</v>
      </c>
      <c r="P16" s="163">
        <f t="shared" si="1"/>
        <v>971268.51652844448</v>
      </c>
      <c r="Q16" s="43"/>
    </row>
    <row r="17" spans="1:17" ht="12.75" customHeight="1" x14ac:dyDescent="0.2">
      <c r="B17" s="164"/>
      <c r="C17" s="157">
        <v>11</v>
      </c>
      <c r="D17" s="158">
        <v>754879.99795937468</v>
      </c>
      <c r="E17" s="158">
        <v>21703.379196527574</v>
      </c>
      <c r="F17" s="158">
        <v>2335.7633205933171</v>
      </c>
      <c r="G17" s="158">
        <v>68142.421761352787</v>
      </c>
      <c r="H17" s="158">
        <f t="shared" si="2"/>
        <v>92181.564278473685</v>
      </c>
      <c r="I17" s="160">
        <v>78101.309472564782</v>
      </c>
      <c r="J17" s="160">
        <v>1184.3620817999999</v>
      </c>
      <c r="K17" s="160">
        <v>92552.494683199984</v>
      </c>
      <c r="L17" s="160">
        <v>608.87883549999981</v>
      </c>
      <c r="M17" s="160">
        <v>2.9780119999999997</v>
      </c>
      <c r="N17" s="161">
        <f t="shared" si="0"/>
        <v>1019511.5853229131</v>
      </c>
      <c r="O17" s="168">
        <v>24031.25978386034</v>
      </c>
      <c r="P17" s="163">
        <f t="shared" si="1"/>
        <v>1043542.8451067734</v>
      </c>
      <c r="Q17" s="43"/>
    </row>
    <row r="18" spans="1:17" thickBot="1" x14ac:dyDescent="0.25">
      <c r="B18" s="164"/>
      <c r="C18" s="157">
        <v>12</v>
      </c>
      <c r="D18" s="158">
        <v>756716.27991481568</v>
      </c>
      <c r="E18" s="158">
        <v>12265.246239162076</v>
      </c>
      <c r="F18" s="158">
        <v>1869.8459240849261</v>
      </c>
      <c r="G18" s="158">
        <v>4646.4839319475232</v>
      </c>
      <c r="H18" s="158">
        <f t="shared" si="2"/>
        <v>18781.576095194527</v>
      </c>
      <c r="I18" s="160">
        <v>18075.570558364365</v>
      </c>
      <c r="J18" s="160">
        <v>1590.0407557000001</v>
      </c>
      <c r="K18" s="160">
        <v>89696.233947199988</v>
      </c>
      <c r="L18" s="160">
        <v>317.78271769999964</v>
      </c>
      <c r="M18" s="160">
        <v>2.8388380999999998</v>
      </c>
      <c r="N18" s="161">
        <f t="shared" ref="N18" si="3">+M18+L18+K18++J18+I18+H18+D18</f>
        <v>885180.32282707456</v>
      </c>
      <c r="O18" s="162">
        <v>29045.157675541024</v>
      </c>
      <c r="P18" s="163">
        <f t="shared" si="1"/>
        <v>914225.48050261557</v>
      </c>
      <c r="Q18" s="43"/>
    </row>
    <row r="19" spans="1:17" ht="24.95" customHeight="1" thickBot="1" x14ac:dyDescent="0.25">
      <c r="A19" s="43"/>
      <c r="B19" s="198" t="s">
        <v>2</v>
      </c>
      <c r="C19" s="199"/>
      <c r="D19" s="191">
        <f t="shared" ref="D19:P19" si="4">SUM(D7:D18)</f>
        <v>7449790.5300528081</v>
      </c>
      <c r="E19" s="191">
        <f t="shared" si="4"/>
        <v>466606.99862310616</v>
      </c>
      <c r="F19" s="191">
        <f t="shared" si="4"/>
        <v>57246.9394489185</v>
      </c>
      <c r="G19" s="191">
        <f t="shared" si="4"/>
        <v>209116.36050771779</v>
      </c>
      <c r="H19" s="191">
        <f t="shared" si="4"/>
        <v>732970.29857974255</v>
      </c>
      <c r="I19" s="191">
        <f t="shared" si="4"/>
        <v>465030.28420508828</v>
      </c>
      <c r="J19" s="191">
        <f t="shared" si="4"/>
        <v>10989.452985599999</v>
      </c>
      <c r="K19" s="191">
        <f t="shared" si="4"/>
        <v>788650.50255580002</v>
      </c>
      <c r="L19" s="191">
        <f t="shared" si="4"/>
        <v>15181.487529600043</v>
      </c>
      <c r="M19" s="191">
        <f t="shared" si="4"/>
        <v>18.463818204883435</v>
      </c>
      <c r="N19" s="191">
        <f t="shared" si="4"/>
        <v>9462631.0197268445</v>
      </c>
      <c r="O19" s="191">
        <f t="shared" si="4"/>
        <v>186623.69521706502</v>
      </c>
      <c r="P19" s="191">
        <f t="shared" si="4"/>
        <v>9649254.7149439082</v>
      </c>
    </row>
    <row r="20" spans="1:17" s="169" customFormat="1" ht="12.75" customHeight="1" x14ac:dyDescent="0.2">
      <c r="B20" s="170" t="s">
        <v>43</v>
      </c>
      <c r="C20" s="171"/>
      <c r="D20" s="172"/>
      <c r="E20" s="173"/>
      <c r="F20" s="57"/>
      <c r="P20" s="174"/>
    </row>
    <row r="21" spans="1:17" s="154" customFormat="1" ht="12.75" customHeight="1" x14ac:dyDescent="0.2">
      <c r="C21" s="21"/>
      <c r="D21" s="31"/>
      <c r="E21" s="175"/>
      <c r="F21" s="155"/>
    </row>
    <row r="22" spans="1:17" ht="12.75" customHeight="1" x14ac:dyDescent="0.2">
      <c r="C22" t="s">
        <v>0</v>
      </c>
      <c r="D22" s="43"/>
      <c r="E22" s="43"/>
      <c r="F22" s="43"/>
      <c r="G22" s="43"/>
      <c r="H22" s="43"/>
      <c r="I22" s="43"/>
      <c r="J22" s="43"/>
      <c r="K22" s="43"/>
      <c r="L22" s="43"/>
      <c r="M22" s="43"/>
      <c r="O22" s="43"/>
      <c r="P22" s="43"/>
    </row>
    <row r="23" spans="1:17" ht="12.75" customHeight="1" x14ac:dyDescent="0.2">
      <c r="G23" s="43"/>
      <c r="H23" s="43"/>
    </row>
  </sheetData>
  <mergeCells count="10">
    <mergeCell ref="N5:N6"/>
    <mergeCell ref="O5:O6"/>
    <mergeCell ref="P5:P6"/>
    <mergeCell ref="B19:C19"/>
    <mergeCell ref="D5:D6"/>
    <mergeCell ref="I5:I6"/>
    <mergeCell ref="J5:J6"/>
    <mergeCell ref="K5:K6"/>
    <mergeCell ref="L5:L6"/>
    <mergeCell ref="M5:M6"/>
  </mergeCells>
  <conditionalFormatting sqref="E20 B19:C19 E19:P19 K9:O11 K7:P8 J10:J11 I7:J9 D7:H10 I10:I18 P9:P18 J12:O18 D12:H13 E11:H11 D15:D19 E14:H18">
    <cfRule type="cellIs" dxfId="54" priority="7" stopIfTrue="1" operator="equal">
      <formula>0</formula>
    </cfRule>
  </conditionalFormatting>
  <conditionalFormatting sqref="O11">
    <cfRule type="cellIs" dxfId="53" priority="6" stopIfTrue="1" operator="equal">
      <formula>0</formula>
    </cfRule>
  </conditionalFormatting>
  <conditionalFormatting sqref="D8">
    <cfRule type="cellIs" dxfId="52" priority="5" stopIfTrue="1" operator="equal">
      <formula>0</formula>
    </cfRule>
  </conditionalFormatting>
  <conditionalFormatting sqref="I14">
    <cfRule type="cellIs" dxfId="51" priority="4" stopIfTrue="1" operator="equal">
      <formula>0</formula>
    </cfRule>
  </conditionalFormatting>
  <conditionalFormatting sqref="I14">
    <cfRule type="cellIs" dxfId="50" priority="3" stopIfTrue="1" operator="equal">
      <formula>0</formula>
    </cfRule>
  </conditionalFormatting>
  <conditionalFormatting sqref="D11">
    <cfRule type="cellIs" dxfId="49" priority="2" stopIfTrue="1" operator="equal">
      <formula>0</formula>
    </cfRule>
  </conditionalFormatting>
  <conditionalFormatting sqref="D14">
    <cfRule type="cellIs" dxfId="48" priority="1" stopIfTrue="1" operator="equal">
      <formula>0</formula>
    </cfRule>
  </conditionalFormatting>
  <pageMargins left="0.75" right="0.75" top="1" bottom="1" header="0" footer="0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>
      <selection activeCell="V7" sqref="V7"/>
    </sheetView>
  </sheetViews>
  <sheetFormatPr baseColWidth="10" defaultRowHeight="13.5" customHeight="1" x14ac:dyDescent="0.2"/>
  <cols>
    <col min="1" max="1" width="6.140625" customWidth="1"/>
    <col min="2" max="2" width="7" customWidth="1"/>
    <col min="3" max="3" width="9.140625" customWidth="1"/>
    <col min="4" max="4" width="12.42578125" customWidth="1"/>
    <col min="5" max="5" width="11.42578125" bestFit="1" customWidth="1"/>
    <col min="6" max="6" width="9.140625" customWidth="1"/>
    <col min="7" max="8" width="10.140625" bestFit="1" customWidth="1"/>
    <col min="9" max="9" width="10.42578125" customWidth="1"/>
    <col min="10" max="10" width="13.7109375" customWidth="1"/>
    <col min="11" max="11" width="10.140625" bestFit="1" customWidth="1"/>
    <col min="12" max="12" width="9" customWidth="1"/>
    <col min="13" max="13" width="13" customWidth="1"/>
    <col min="15" max="15" width="12.42578125" customWidth="1"/>
    <col min="16" max="16" width="14.42578125" customWidth="1"/>
  </cols>
  <sheetData>
    <row r="1" spans="1:17" ht="12.75" customHeight="1" x14ac:dyDescent="0.2"/>
    <row r="2" spans="1:17" ht="12.75" customHeight="1" x14ac:dyDescent="0.2">
      <c r="B2" s="31"/>
      <c r="C2" s="31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5"/>
      <c r="P2" s="155"/>
    </row>
    <row r="3" spans="1:17" ht="30.95" customHeight="1" x14ac:dyDescent="0.2">
      <c r="A3" t="s">
        <v>0</v>
      </c>
      <c r="B3" s="176" t="s">
        <v>15</v>
      </c>
      <c r="C3" s="177"/>
      <c r="D3" s="178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80"/>
      <c r="P3" s="181"/>
    </row>
    <row r="4" spans="1:17" ht="18" customHeight="1" thickBot="1" x14ac:dyDescent="0.25">
      <c r="B4" s="182" t="s">
        <v>49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6"/>
    </row>
    <row r="5" spans="1:17" ht="21.95" customHeight="1" x14ac:dyDescent="0.2">
      <c r="B5" s="184" t="s">
        <v>47</v>
      </c>
      <c r="C5" s="185"/>
      <c r="D5" s="200" t="s">
        <v>1</v>
      </c>
      <c r="E5" s="186" t="s">
        <v>3</v>
      </c>
      <c r="F5" s="186"/>
      <c r="G5" s="186"/>
      <c r="H5" s="186"/>
      <c r="I5" s="202" t="s">
        <v>4</v>
      </c>
      <c r="J5" s="204" t="s">
        <v>32</v>
      </c>
      <c r="K5" s="206" t="s">
        <v>5</v>
      </c>
      <c r="L5" s="208" t="s">
        <v>6</v>
      </c>
      <c r="M5" s="204" t="s">
        <v>16</v>
      </c>
      <c r="N5" s="192" t="s">
        <v>7</v>
      </c>
      <c r="O5" s="194" t="s">
        <v>8</v>
      </c>
      <c r="P5" s="196" t="s">
        <v>20</v>
      </c>
    </row>
    <row r="6" spans="1:17" ht="43.5" customHeight="1" thickBot="1" x14ac:dyDescent="0.25">
      <c r="B6" s="187" t="s">
        <v>14</v>
      </c>
      <c r="C6" s="188" t="s">
        <v>12</v>
      </c>
      <c r="D6" s="201"/>
      <c r="E6" s="189" t="s">
        <v>9</v>
      </c>
      <c r="F6" s="189" t="s">
        <v>10</v>
      </c>
      <c r="G6" s="189" t="s">
        <v>11</v>
      </c>
      <c r="H6" s="189" t="s">
        <v>2</v>
      </c>
      <c r="I6" s="203"/>
      <c r="J6" s="205"/>
      <c r="K6" s="207"/>
      <c r="L6" s="209"/>
      <c r="M6" s="210"/>
      <c r="N6" s="193"/>
      <c r="O6" s="195"/>
      <c r="P6" s="197"/>
    </row>
    <row r="7" spans="1:17" ht="12.75" customHeight="1" x14ac:dyDescent="0.2">
      <c r="B7" s="156">
        <v>2023</v>
      </c>
      <c r="C7" s="157">
        <v>1</v>
      </c>
      <c r="D7" s="158">
        <v>130799.78047385982</v>
      </c>
      <c r="E7" s="158">
        <v>1116.732334312378</v>
      </c>
      <c r="F7" s="158">
        <v>221.73860392917391</v>
      </c>
      <c r="G7" s="158">
        <v>334.30061830357994</v>
      </c>
      <c r="H7" s="158">
        <f>SUM(E7:G7)</f>
        <v>1672.7715565451319</v>
      </c>
      <c r="I7" s="159">
        <v>3090.6439647558095</v>
      </c>
      <c r="J7" s="160">
        <v>263.71148550000004</v>
      </c>
      <c r="K7" s="160">
        <v>14443.699861499997</v>
      </c>
      <c r="L7" s="160">
        <v>22.051639400000003</v>
      </c>
      <c r="M7" s="160">
        <v>0.2728757</v>
      </c>
      <c r="N7" s="161">
        <f t="shared" ref="N7:N17" si="0">+M7+L7+K7+J7+I7+H7+D7</f>
        <v>150292.93185726076</v>
      </c>
      <c r="O7" s="162">
        <v>4466.1032771990567</v>
      </c>
      <c r="P7" s="163">
        <f>+O7+N7</f>
        <v>154759.03513445982</v>
      </c>
      <c r="Q7" s="43"/>
    </row>
    <row r="8" spans="1:17" ht="12.75" customHeight="1" x14ac:dyDescent="0.2">
      <c r="B8" s="164"/>
      <c r="C8" s="157">
        <v>2</v>
      </c>
      <c r="D8" s="158">
        <v>119237.9428183898</v>
      </c>
      <c r="E8" s="158">
        <v>21232.924040229002</v>
      </c>
      <c r="F8" s="158">
        <v>2735.2523175576762</v>
      </c>
      <c r="G8" s="158">
        <v>877.47794989413683</v>
      </c>
      <c r="H8" s="158">
        <f>SUM(E8:G8)</f>
        <v>24845.654307680812</v>
      </c>
      <c r="I8" s="159">
        <v>2618.8942506095991</v>
      </c>
      <c r="J8" s="160">
        <v>149.66685369999999</v>
      </c>
      <c r="K8" s="160">
        <v>13523.367008899999</v>
      </c>
      <c r="L8" s="160">
        <v>890.36367360000509</v>
      </c>
      <c r="M8" s="160">
        <v>0.2365283</v>
      </c>
      <c r="N8" s="161">
        <f t="shared" si="0"/>
        <v>161266.12544118019</v>
      </c>
      <c r="O8" s="165">
        <v>4161.2215526096461</v>
      </c>
      <c r="P8" s="163">
        <f t="shared" ref="P8:P18" si="1">+O8+N8</f>
        <v>165427.34699378983</v>
      </c>
      <c r="Q8" s="43"/>
    </row>
    <row r="9" spans="1:17" ht="12.75" customHeight="1" x14ac:dyDescent="0.2">
      <c r="B9" s="164"/>
      <c r="C9" s="157">
        <v>3</v>
      </c>
      <c r="D9" s="158">
        <v>135057.29249643983</v>
      </c>
      <c r="E9" s="158">
        <v>8984.1159196863973</v>
      </c>
      <c r="F9" s="158">
        <v>1382.0822619954663</v>
      </c>
      <c r="G9" s="158">
        <v>10773.74674281994</v>
      </c>
      <c r="H9" s="158">
        <f>SUM(E9:G9)</f>
        <v>21139.944924501804</v>
      </c>
      <c r="I9" s="160">
        <v>25143.836527312087</v>
      </c>
      <c r="J9" s="160">
        <v>289.12443649999994</v>
      </c>
      <c r="K9" s="160">
        <v>13170.3126854</v>
      </c>
      <c r="L9" s="160">
        <v>342.39259740000017</v>
      </c>
      <c r="M9" s="161">
        <v>0.26705360000000006</v>
      </c>
      <c r="N9" s="161">
        <f t="shared" si="0"/>
        <v>195143.17072115373</v>
      </c>
      <c r="O9" s="166">
        <v>4993.5429376855764</v>
      </c>
      <c r="P9" s="163">
        <f t="shared" si="1"/>
        <v>200136.71365883932</v>
      </c>
      <c r="Q9" s="43"/>
    </row>
    <row r="10" spans="1:17" ht="12.75" customHeight="1" x14ac:dyDescent="0.2">
      <c r="B10" s="164"/>
      <c r="C10" s="157">
        <v>4</v>
      </c>
      <c r="D10" s="158">
        <v>153197.92573491985</v>
      </c>
      <c r="E10" s="158">
        <v>12176.850236342412</v>
      </c>
      <c r="F10" s="158">
        <v>1619.1896964494572</v>
      </c>
      <c r="G10" s="158">
        <v>511.54700994893517</v>
      </c>
      <c r="H10" s="158">
        <f>SUM(E10:G10)</f>
        <v>14307.586942740805</v>
      </c>
      <c r="I10" s="160">
        <v>5501.1316660904276</v>
      </c>
      <c r="J10" s="160">
        <v>213.29523460000001</v>
      </c>
      <c r="K10" s="160">
        <v>16445.288869500004</v>
      </c>
      <c r="L10" s="160">
        <v>486.48450580000218</v>
      </c>
      <c r="M10" s="160">
        <v>0.35748300000000005</v>
      </c>
      <c r="N10" s="161">
        <f t="shared" si="0"/>
        <v>190152.07043665109</v>
      </c>
      <c r="O10" s="162">
        <v>4776.3049310687711</v>
      </c>
      <c r="P10" s="163">
        <f t="shared" si="1"/>
        <v>194928.37536771985</v>
      </c>
      <c r="Q10" s="43"/>
    </row>
    <row r="11" spans="1:17" ht="12.75" customHeight="1" x14ac:dyDescent="0.2">
      <c r="B11" s="164"/>
      <c r="C11" s="157">
        <v>5</v>
      </c>
      <c r="D11" s="158">
        <v>165554.96505239973</v>
      </c>
      <c r="E11" s="159">
        <v>3710.7871641401189</v>
      </c>
      <c r="F11" s="159">
        <v>636.54736438943189</v>
      </c>
      <c r="G11" s="159">
        <v>659.33080627608558</v>
      </c>
      <c r="H11" s="158">
        <f>SUM(E11:G11)</f>
        <v>5006.6653348056361</v>
      </c>
      <c r="I11" s="159">
        <v>17107.924131786971</v>
      </c>
      <c r="J11" s="159">
        <v>259.47721639999997</v>
      </c>
      <c r="K11" s="159">
        <v>16746.107384099996</v>
      </c>
      <c r="L11" s="159">
        <v>121.68711869999984</v>
      </c>
      <c r="M11" s="160">
        <v>0.35748300000000005</v>
      </c>
      <c r="N11" s="161">
        <f t="shared" si="0"/>
        <v>204797.18372119233</v>
      </c>
      <c r="O11" s="183">
        <v>5384.7925353072624</v>
      </c>
      <c r="P11" s="163">
        <f t="shared" si="1"/>
        <v>210181.97625649959</v>
      </c>
      <c r="Q11" s="43"/>
    </row>
    <row r="12" spans="1:17" ht="12.75" customHeight="1" x14ac:dyDescent="0.2">
      <c r="B12" s="164"/>
      <c r="C12" s="157">
        <v>6</v>
      </c>
      <c r="D12" s="158">
        <v>180109.11323055948</v>
      </c>
      <c r="E12" s="158">
        <v>13460.76267176454</v>
      </c>
      <c r="F12" s="158">
        <v>1751.8789672827586</v>
      </c>
      <c r="G12" s="158">
        <v>9293.8267062440518</v>
      </c>
      <c r="H12" s="158">
        <f t="shared" ref="H12:H18" si="2">+G12+F12+E12</f>
        <v>24506.468345291352</v>
      </c>
      <c r="I12" s="160">
        <v>5604.0602362193486</v>
      </c>
      <c r="J12" s="160">
        <v>586.66042130000005</v>
      </c>
      <c r="K12" s="160">
        <v>18440.117394800003</v>
      </c>
      <c r="L12" s="160">
        <v>529.33988780000152</v>
      </c>
      <c r="M12" s="160">
        <v>0.35748300000000005</v>
      </c>
      <c r="N12" s="161">
        <f t="shared" si="0"/>
        <v>229776.11699897019</v>
      </c>
      <c r="O12" s="167">
        <v>5545.4620024893711</v>
      </c>
      <c r="P12" s="163">
        <f t="shared" si="1"/>
        <v>235321.57900145956</v>
      </c>
      <c r="Q12" s="43"/>
    </row>
    <row r="13" spans="1:17" ht="12.75" customHeight="1" x14ac:dyDescent="0.2">
      <c r="B13" s="164"/>
      <c r="C13" s="157">
        <v>7</v>
      </c>
      <c r="D13" s="158">
        <v>199092.82273951959</v>
      </c>
      <c r="E13" s="158">
        <v>3385.48923136229</v>
      </c>
      <c r="F13" s="158">
        <v>619.95539225544508</v>
      </c>
      <c r="G13" s="158">
        <v>1028.7089501639755</v>
      </c>
      <c r="H13" s="158">
        <f t="shared" si="2"/>
        <v>5034.1535737817103</v>
      </c>
      <c r="I13" s="160">
        <v>19678.936426462831</v>
      </c>
      <c r="J13" s="160">
        <v>357.79752509999992</v>
      </c>
      <c r="K13" s="160">
        <v>21956.173915300005</v>
      </c>
      <c r="L13" s="160">
        <v>107.47537029999999</v>
      </c>
      <c r="M13" s="160">
        <v>0.35748300000000005</v>
      </c>
      <c r="N13" s="161">
        <f t="shared" si="0"/>
        <v>246227.71703346414</v>
      </c>
      <c r="O13" s="167">
        <v>6291.0072587552249</v>
      </c>
      <c r="P13" s="163">
        <f t="shared" si="1"/>
        <v>252518.72429221935</v>
      </c>
      <c r="Q13" s="43"/>
    </row>
    <row r="14" spans="1:17" ht="12.75" customHeight="1" x14ac:dyDescent="0.2">
      <c r="B14" s="164"/>
      <c r="C14" s="157">
        <v>8</v>
      </c>
      <c r="D14" s="158">
        <v>215351.83145848932</v>
      </c>
      <c r="E14" s="158">
        <v>12841.028247700588</v>
      </c>
      <c r="F14" s="158">
        <v>1695.8189864736635</v>
      </c>
      <c r="G14" s="158">
        <v>1021.4163530295281</v>
      </c>
      <c r="H14" s="158">
        <f t="shared" si="2"/>
        <v>15558.263587203779</v>
      </c>
      <c r="I14" s="158">
        <v>5376.8414802457719</v>
      </c>
      <c r="J14" s="160">
        <v>384.98835030000032</v>
      </c>
      <c r="K14" s="160">
        <v>22218.939624899998</v>
      </c>
      <c r="L14" s="160">
        <v>503.38088260000268</v>
      </c>
      <c r="M14" s="160">
        <v>0.35748300000000005</v>
      </c>
      <c r="N14" s="161">
        <f t="shared" si="0"/>
        <v>259394.60286673886</v>
      </c>
      <c r="O14" s="167">
        <v>6269.3890408504949</v>
      </c>
      <c r="P14" s="163">
        <f t="shared" si="1"/>
        <v>265663.99190758937</v>
      </c>
      <c r="Q14" s="43"/>
    </row>
    <row r="15" spans="1:17" ht="12.75" customHeight="1" x14ac:dyDescent="0.2">
      <c r="B15" s="164"/>
      <c r="C15" s="157">
        <v>9</v>
      </c>
      <c r="D15" s="158">
        <v>242939.43288136908</v>
      </c>
      <c r="E15" s="158">
        <v>4084.6142666395303</v>
      </c>
      <c r="F15" s="158">
        <v>601.98540574894787</v>
      </c>
      <c r="G15" s="158">
        <v>8837.4496156591504</v>
      </c>
      <c r="H15" s="158">
        <f t="shared" si="2"/>
        <v>13524.049288047629</v>
      </c>
      <c r="I15" s="160">
        <v>19283.14177276284</v>
      </c>
      <c r="J15" s="160">
        <v>456.66353879999696</v>
      </c>
      <c r="K15" s="161">
        <v>24971.696192700187</v>
      </c>
      <c r="L15" s="160">
        <v>140.48785010000012</v>
      </c>
      <c r="M15" s="165">
        <v>0.35748300000000005</v>
      </c>
      <c r="N15" s="161">
        <f t="shared" si="0"/>
        <v>301315.82900677971</v>
      </c>
      <c r="O15" s="167">
        <v>6059.2846029893308</v>
      </c>
      <c r="P15" s="163">
        <f t="shared" si="1"/>
        <v>307375.11360976903</v>
      </c>
      <c r="Q15" s="43"/>
    </row>
    <row r="16" spans="1:17" ht="12.75" customHeight="1" x14ac:dyDescent="0.2">
      <c r="B16" s="164"/>
      <c r="C16" s="157">
        <v>10</v>
      </c>
      <c r="D16" s="158">
        <v>274312.9151508892</v>
      </c>
      <c r="E16" s="158">
        <v>12319.983964634053</v>
      </c>
      <c r="F16" s="158">
        <v>417.82476008355479</v>
      </c>
      <c r="G16" s="158">
        <v>1248.3376089345011</v>
      </c>
      <c r="H16" s="158">
        <f t="shared" si="2"/>
        <v>13986.146333652108</v>
      </c>
      <c r="I16" s="160">
        <v>4371.3124748018326</v>
      </c>
      <c r="J16" s="160">
        <v>517.8565174999992</v>
      </c>
      <c r="K16" s="160">
        <v>26589.089161299995</v>
      </c>
      <c r="L16" s="160">
        <v>482.63045209999882</v>
      </c>
      <c r="M16" s="165">
        <v>0.35748300000000005</v>
      </c>
      <c r="N16" s="161">
        <f t="shared" si="0"/>
        <v>320260.30757324316</v>
      </c>
      <c r="O16" s="162">
        <v>6062.3387848460598</v>
      </c>
      <c r="P16" s="163">
        <f t="shared" si="1"/>
        <v>326322.64635808923</v>
      </c>
      <c r="Q16" s="43"/>
    </row>
    <row r="17" spans="1:17" ht="12.75" customHeight="1" x14ac:dyDescent="0.2">
      <c r="B17" s="164"/>
      <c r="C17" s="157">
        <v>11</v>
      </c>
      <c r="D17" s="158">
        <v>296861.20995190012</v>
      </c>
      <c r="E17" s="158">
        <v>3673.3113316200356</v>
      </c>
      <c r="F17" s="158">
        <v>511.49634745713212</v>
      </c>
      <c r="G17" s="158">
        <v>9046.6465591774486</v>
      </c>
      <c r="H17" s="158">
        <f t="shared" si="2"/>
        <v>13231.454238254617</v>
      </c>
      <c r="I17" s="160">
        <v>19931.672270540646</v>
      </c>
      <c r="J17" s="160">
        <v>625.97021059999997</v>
      </c>
      <c r="K17" s="160">
        <v>29646.842897499995</v>
      </c>
      <c r="L17" s="160">
        <v>113.6513427</v>
      </c>
      <c r="M17" s="160">
        <v>0.71507290000000001</v>
      </c>
      <c r="N17" s="161">
        <f t="shared" si="0"/>
        <v>360411.5159843954</v>
      </c>
      <c r="O17" s="168">
        <v>6225.5219947045834</v>
      </c>
      <c r="P17" s="163">
        <f t="shared" si="1"/>
        <v>366637.03797909996</v>
      </c>
      <c r="Q17" s="43"/>
    </row>
    <row r="18" spans="1:17" thickBot="1" x14ac:dyDescent="0.25">
      <c r="B18" s="164"/>
      <c r="C18" s="157">
        <v>12</v>
      </c>
      <c r="D18" s="158">
        <v>311681.9701860997</v>
      </c>
      <c r="E18" s="158">
        <v>2524.3065671132936</v>
      </c>
      <c r="F18" s="158">
        <v>461.73745146479894</v>
      </c>
      <c r="G18" s="158">
        <v>749.87242671216313</v>
      </c>
      <c r="H18" s="158">
        <f t="shared" si="2"/>
        <v>3735.9164452902555</v>
      </c>
      <c r="I18" s="160">
        <v>5714.5355211974775</v>
      </c>
      <c r="J18" s="160">
        <v>844.41216149999991</v>
      </c>
      <c r="K18" s="160">
        <v>32268.315654599995</v>
      </c>
      <c r="L18" s="160">
        <v>61.962297399999997</v>
      </c>
      <c r="M18" s="160">
        <v>0.60233300000000001</v>
      </c>
      <c r="N18" s="161">
        <f t="shared" ref="N18" si="3">+M18+L18+K18++J18+I18+H18+D18</f>
        <v>354307.71459908743</v>
      </c>
      <c r="O18" s="162">
        <v>6829.0681041144471</v>
      </c>
      <c r="P18" s="163">
        <f t="shared" si="1"/>
        <v>361136.78270320187</v>
      </c>
      <c r="Q18" s="43"/>
    </row>
    <row r="19" spans="1:17" ht="24.95" customHeight="1" thickBot="1" x14ac:dyDescent="0.25">
      <c r="A19" s="43"/>
      <c r="B19" s="198" t="s">
        <v>2</v>
      </c>
      <c r="C19" s="199"/>
      <c r="D19" s="191">
        <f t="shared" ref="D19:P19" si="4">SUM(D7:D18)</f>
        <v>2424197.2021748358</v>
      </c>
      <c r="E19" s="191">
        <f t="shared" si="4"/>
        <v>99510.905975544636</v>
      </c>
      <c r="F19" s="191">
        <f t="shared" si="4"/>
        <v>12655.507555087504</v>
      </c>
      <c r="G19" s="191">
        <f t="shared" si="4"/>
        <v>44382.661347163499</v>
      </c>
      <c r="H19" s="191">
        <f t="shared" si="4"/>
        <v>156549.07487779565</v>
      </c>
      <c r="I19" s="191">
        <f t="shared" si="4"/>
        <v>133422.93072278565</v>
      </c>
      <c r="J19" s="191">
        <f t="shared" si="4"/>
        <v>4949.6239517999966</v>
      </c>
      <c r="K19" s="191">
        <f t="shared" si="4"/>
        <v>250419.95065050019</v>
      </c>
      <c r="L19" s="191">
        <f t="shared" si="4"/>
        <v>3801.9076179000108</v>
      </c>
      <c r="M19" s="191">
        <f t="shared" si="4"/>
        <v>4.596244500000001</v>
      </c>
      <c r="N19" s="191">
        <f t="shared" si="4"/>
        <v>2973345.2862401172</v>
      </c>
      <c r="O19" s="191">
        <f t="shared" si="4"/>
        <v>67064.037022619828</v>
      </c>
      <c r="P19" s="191">
        <f t="shared" si="4"/>
        <v>3040409.3232627362</v>
      </c>
    </row>
    <row r="20" spans="1:17" s="169" customFormat="1" ht="12.75" customHeight="1" x14ac:dyDescent="0.2">
      <c r="B20" s="170" t="s">
        <v>43</v>
      </c>
      <c r="C20" s="171"/>
      <c r="D20" s="172"/>
      <c r="E20" s="173"/>
      <c r="F20" s="57"/>
      <c r="P20" s="174"/>
    </row>
    <row r="21" spans="1:17" s="154" customFormat="1" ht="12.75" customHeight="1" x14ac:dyDescent="0.2">
      <c r="C21" s="21"/>
      <c r="D21" s="31"/>
      <c r="E21" s="175"/>
      <c r="F21" s="155"/>
    </row>
    <row r="22" spans="1:17" ht="12.75" customHeight="1" x14ac:dyDescent="0.2">
      <c r="C22" t="s">
        <v>0</v>
      </c>
      <c r="D22" s="43"/>
      <c r="E22" s="43"/>
      <c r="F22" s="43"/>
      <c r="G22" s="43"/>
      <c r="H22" s="43"/>
      <c r="I22" s="43"/>
      <c r="J22" s="43"/>
      <c r="K22" s="43"/>
      <c r="L22" s="43"/>
      <c r="M22" s="43"/>
      <c r="O22" s="43"/>
      <c r="P22" s="43"/>
    </row>
    <row r="23" spans="1:17" ht="12.75" customHeight="1" x14ac:dyDescent="0.2">
      <c r="G23" s="43"/>
      <c r="H23" s="43"/>
    </row>
  </sheetData>
  <mergeCells count="10">
    <mergeCell ref="N5:N6"/>
    <mergeCell ref="O5:O6"/>
    <mergeCell ref="P5:P6"/>
    <mergeCell ref="B19:C19"/>
    <mergeCell ref="D5:D6"/>
    <mergeCell ref="I5:I6"/>
    <mergeCell ref="J5:J6"/>
    <mergeCell ref="K5:K6"/>
    <mergeCell ref="L5:L6"/>
    <mergeCell ref="M5:M6"/>
  </mergeCells>
  <conditionalFormatting sqref="E20 B19:C19 E19:P19 K9:O11 K7:P8 J10:J11 I7:J9 E12:H18 D7:H11 D12:D19 I10:I18 P9:P18 J12:O18">
    <cfRule type="cellIs" dxfId="47" priority="5" stopIfTrue="1" operator="equal">
      <formula>0</formula>
    </cfRule>
  </conditionalFormatting>
  <conditionalFormatting sqref="O11">
    <cfRule type="cellIs" dxfId="46" priority="4" stopIfTrue="1" operator="equal">
      <formula>0</formula>
    </cfRule>
  </conditionalFormatting>
  <conditionalFormatting sqref="D8">
    <cfRule type="cellIs" dxfId="45" priority="3" stopIfTrue="1" operator="equal">
      <formula>0</formula>
    </cfRule>
  </conditionalFormatting>
  <conditionalFormatting sqref="I14">
    <cfRule type="cellIs" dxfId="44" priority="2" stopIfTrue="1" operator="equal">
      <formula>0</formula>
    </cfRule>
  </conditionalFormatting>
  <conditionalFormatting sqref="I14">
    <cfRule type="cellIs" dxfId="43" priority="1" stopIfTrue="1" operator="equal">
      <formula>0</formula>
    </cfRule>
  </conditionalFormatting>
  <pageMargins left="0.75" right="0.75" top="1" bottom="1" header="0" footer="0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>
      <selection activeCell="F30" sqref="F30"/>
    </sheetView>
  </sheetViews>
  <sheetFormatPr baseColWidth="10" defaultRowHeight="13.5" customHeight="1" x14ac:dyDescent="0.2"/>
  <cols>
    <col min="1" max="1" width="6.140625" customWidth="1"/>
    <col min="2" max="2" width="7" customWidth="1"/>
    <col min="3" max="3" width="9.140625" customWidth="1"/>
    <col min="4" max="4" width="12.42578125" customWidth="1"/>
    <col min="5" max="5" width="11.42578125" bestFit="1" customWidth="1"/>
    <col min="6" max="6" width="9.140625" customWidth="1"/>
    <col min="7" max="8" width="10.140625" bestFit="1" customWidth="1"/>
    <col min="9" max="9" width="10.42578125" customWidth="1"/>
    <col min="10" max="10" width="14" customWidth="1"/>
    <col min="11" max="11" width="10.140625" bestFit="1" customWidth="1"/>
    <col min="12" max="12" width="9" customWidth="1"/>
    <col min="13" max="13" width="13" customWidth="1"/>
    <col min="15" max="15" width="12.42578125" customWidth="1"/>
    <col min="16" max="16" width="14.42578125" customWidth="1"/>
  </cols>
  <sheetData>
    <row r="1" spans="1:17" ht="12.75" customHeight="1" x14ac:dyDescent="0.2"/>
    <row r="2" spans="1:17" ht="12.75" customHeight="1" x14ac:dyDescent="0.2">
      <c r="B2" s="31"/>
      <c r="C2" s="31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5"/>
      <c r="P2" s="155"/>
    </row>
    <row r="3" spans="1:17" ht="30.95" customHeight="1" x14ac:dyDescent="0.2">
      <c r="A3" t="s">
        <v>0</v>
      </c>
      <c r="B3" s="176" t="s">
        <v>15</v>
      </c>
      <c r="C3" s="177"/>
      <c r="D3" s="178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80"/>
      <c r="P3" s="181"/>
    </row>
    <row r="4" spans="1:17" ht="18" customHeight="1" thickBot="1" x14ac:dyDescent="0.25">
      <c r="B4" s="182" t="s">
        <v>46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6"/>
    </row>
    <row r="5" spans="1:17" ht="13.5" customHeight="1" x14ac:dyDescent="0.2">
      <c r="B5" s="131" t="s">
        <v>47</v>
      </c>
      <c r="C5" s="132"/>
      <c r="D5" s="219" t="s">
        <v>1</v>
      </c>
      <c r="E5" s="133" t="s">
        <v>3</v>
      </c>
      <c r="F5" s="133"/>
      <c r="G5" s="133"/>
      <c r="H5" s="133"/>
      <c r="I5" s="221" t="s">
        <v>4</v>
      </c>
      <c r="J5" s="223" t="s">
        <v>32</v>
      </c>
      <c r="K5" s="225" t="s">
        <v>5</v>
      </c>
      <c r="L5" s="227" t="s">
        <v>6</v>
      </c>
      <c r="M5" s="223" t="s">
        <v>16</v>
      </c>
      <c r="N5" s="211" t="s">
        <v>7</v>
      </c>
      <c r="O5" s="213" t="s">
        <v>8</v>
      </c>
      <c r="P5" s="215" t="s">
        <v>20</v>
      </c>
    </row>
    <row r="6" spans="1:17" ht="12.75" customHeight="1" thickBot="1" x14ac:dyDescent="0.25">
      <c r="B6" s="134" t="s">
        <v>14</v>
      </c>
      <c r="C6" s="135" t="s">
        <v>12</v>
      </c>
      <c r="D6" s="220"/>
      <c r="E6" s="136" t="s">
        <v>9</v>
      </c>
      <c r="F6" s="136" t="s">
        <v>10</v>
      </c>
      <c r="G6" s="136" t="s">
        <v>11</v>
      </c>
      <c r="H6" s="136" t="s">
        <v>2</v>
      </c>
      <c r="I6" s="222"/>
      <c r="J6" s="224"/>
      <c r="K6" s="226"/>
      <c r="L6" s="228"/>
      <c r="M6" s="229"/>
      <c r="N6" s="212"/>
      <c r="O6" s="214"/>
      <c r="P6" s="216"/>
    </row>
    <row r="7" spans="1:17" ht="12.75" customHeight="1" x14ac:dyDescent="0.2">
      <c r="B7" s="156">
        <v>2022</v>
      </c>
      <c r="C7" s="157">
        <v>1</v>
      </c>
      <c r="D7" s="158">
        <v>63607.762420380008</v>
      </c>
      <c r="E7" s="158">
        <v>749.76471111000001</v>
      </c>
      <c r="F7" s="158">
        <v>132.96520425000003</v>
      </c>
      <c r="G7" s="158">
        <v>180.92687031000006</v>
      </c>
      <c r="H7" s="158">
        <f>SUM(E7:G7)</f>
        <v>1063.6567856700001</v>
      </c>
      <c r="I7" s="159">
        <v>1630.5116689500001</v>
      </c>
      <c r="J7" s="160">
        <v>235.38700740000002</v>
      </c>
      <c r="K7" s="160">
        <v>7354.1132517000005</v>
      </c>
      <c r="L7" s="160">
        <v>17.3782867</v>
      </c>
      <c r="M7" s="160">
        <v>0.1181315</v>
      </c>
      <c r="N7" s="161">
        <f t="shared" ref="N7:N16" si="0">+M7+L7+K7+J7+I7+H7+D7</f>
        <v>73908.927552300011</v>
      </c>
      <c r="O7" s="162">
        <v>1867.8906881900029</v>
      </c>
      <c r="P7" s="163">
        <f>+O7+N7</f>
        <v>75776.818240490014</v>
      </c>
      <c r="Q7" s="43"/>
    </row>
    <row r="8" spans="1:17" ht="12.75" customHeight="1" x14ac:dyDescent="0.2">
      <c r="B8" s="164"/>
      <c r="C8" s="157">
        <v>2</v>
      </c>
      <c r="D8" s="158">
        <v>59649.700520320002</v>
      </c>
      <c r="E8" s="158">
        <v>13259.241329230001</v>
      </c>
      <c r="F8" s="158">
        <v>1740.3121957200001</v>
      </c>
      <c r="G8" s="158">
        <v>603.29841727000007</v>
      </c>
      <c r="H8" s="158">
        <f>SUM(E8:G8)</f>
        <v>15602.851942220001</v>
      </c>
      <c r="I8" s="159">
        <v>1633.7066468600001</v>
      </c>
      <c r="J8" s="160">
        <v>95.272275899999997</v>
      </c>
      <c r="K8" s="160">
        <v>6849.9354542999999</v>
      </c>
      <c r="L8" s="160">
        <v>552.96776790000001</v>
      </c>
      <c r="M8" s="160">
        <v>0.15536030000000001</v>
      </c>
      <c r="N8" s="161">
        <f t="shared" si="0"/>
        <v>84384.589967799999</v>
      </c>
      <c r="O8" s="165">
        <v>1735.7544380800077</v>
      </c>
      <c r="P8" s="163">
        <f t="shared" ref="P8:P18" si="1">+O8+N8</f>
        <v>86120.344405880009</v>
      </c>
      <c r="Q8" s="43"/>
    </row>
    <row r="9" spans="1:17" ht="12.75" customHeight="1" x14ac:dyDescent="0.2">
      <c r="B9" s="164"/>
      <c r="C9" s="157">
        <v>3</v>
      </c>
      <c r="D9" s="158">
        <v>65658.817034890017</v>
      </c>
      <c r="E9" s="158">
        <v>5156.7454664900006</v>
      </c>
      <c r="F9" s="158">
        <v>729.52442248</v>
      </c>
      <c r="G9" s="158">
        <v>6543.8035531300002</v>
      </c>
      <c r="H9" s="158">
        <f>SUM(E9:G9)</f>
        <v>12430.073442100002</v>
      </c>
      <c r="I9" s="160">
        <v>17876.728280740004</v>
      </c>
      <c r="J9" s="160">
        <v>146.3235359</v>
      </c>
      <c r="K9" s="160">
        <v>6803.3588873999997</v>
      </c>
      <c r="L9" s="160">
        <v>187.63263720000003</v>
      </c>
      <c r="M9" s="161">
        <v>0.15575609999999998</v>
      </c>
      <c r="N9" s="161">
        <f t="shared" si="0"/>
        <v>103103.08957433002</v>
      </c>
      <c r="O9" s="166">
        <v>2262.1019401899935</v>
      </c>
      <c r="P9" s="163">
        <f t="shared" si="1"/>
        <v>105365.19151452002</v>
      </c>
      <c r="Q9" s="43"/>
    </row>
    <row r="10" spans="1:17" ht="12.75" customHeight="1" x14ac:dyDescent="0.2">
      <c r="B10" s="164"/>
      <c r="C10" s="157">
        <v>4</v>
      </c>
      <c r="D10" s="158">
        <v>74722.879061100015</v>
      </c>
      <c r="E10" s="158">
        <v>6912.0501801300006</v>
      </c>
      <c r="F10" s="158">
        <v>922.61683992999997</v>
      </c>
      <c r="G10" s="158">
        <v>490.26246550999997</v>
      </c>
      <c r="H10" s="158">
        <f>SUM(E10:G10)</f>
        <v>8324.9294855700009</v>
      </c>
      <c r="I10" s="160">
        <v>3074.4376428099999</v>
      </c>
      <c r="J10" s="160">
        <v>209.32678950000002</v>
      </c>
      <c r="K10" s="160">
        <v>9128.802421299999</v>
      </c>
      <c r="L10" s="160">
        <v>269.36495190000005</v>
      </c>
      <c r="M10" s="160">
        <v>0.16154379999999999</v>
      </c>
      <c r="N10" s="161">
        <f t="shared" si="0"/>
        <v>95729.901895980016</v>
      </c>
      <c r="O10" s="162">
        <v>2397.4125004500011</v>
      </c>
      <c r="P10" s="163">
        <f t="shared" si="1"/>
        <v>98127.314396430011</v>
      </c>
      <c r="Q10" s="43"/>
    </row>
    <row r="11" spans="1:17" ht="12.75" customHeight="1" x14ac:dyDescent="0.2">
      <c r="B11" s="164"/>
      <c r="C11" s="157">
        <v>5</v>
      </c>
      <c r="D11" s="158">
        <v>80183.052721729982</v>
      </c>
      <c r="E11" s="159">
        <v>2404.7751135900003</v>
      </c>
      <c r="F11" s="159">
        <v>447.62494344999999</v>
      </c>
      <c r="G11" s="159">
        <v>816.13859219000017</v>
      </c>
      <c r="H11" s="158">
        <f>SUM(E11:G11)</f>
        <v>3668.5386492300004</v>
      </c>
      <c r="I11" s="159">
        <v>12443.210617330004</v>
      </c>
      <c r="J11" s="159">
        <v>236.07667259999999</v>
      </c>
      <c r="K11" s="159">
        <v>8966.8454615999981</v>
      </c>
      <c r="L11" s="159">
        <v>72.469583599999993</v>
      </c>
      <c r="M11" s="160">
        <v>0.16712730000000001</v>
      </c>
      <c r="N11" s="161">
        <f t="shared" si="0"/>
        <v>105570.36083338998</v>
      </c>
      <c r="O11" s="183">
        <v>3116.6455299299996</v>
      </c>
      <c r="P11" s="163">
        <f t="shared" si="1"/>
        <v>108687.00636331998</v>
      </c>
      <c r="Q11" s="43"/>
    </row>
    <row r="12" spans="1:17" ht="12.75" customHeight="1" x14ac:dyDescent="0.2">
      <c r="B12" s="164"/>
      <c r="C12" s="157">
        <v>6</v>
      </c>
      <c r="D12" s="158">
        <v>86689.81029111</v>
      </c>
      <c r="E12" s="158">
        <v>7895.4867059400012</v>
      </c>
      <c r="F12" s="158">
        <v>1031.9861930699999</v>
      </c>
      <c r="G12" s="158">
        <v>5829.068248040001</v>
      </c>
      <c r="H12" s="158">
        <f t="shared" ref="H12:H18" si="2">+G12+F12+E12</f>
        <v>14756.541147050002</v>
      </c>
      <c r="I12" s="160">
        <v>3562.8892534399993</v>
      </c>
      <c r="J12" s="160">
        <v>371.76313579999999</v>
      </c>
      <c r="K12" s="160">
        <v>9524.5838034999997</v>
      </c>
      <c r="L12" s="160">
        <v>295.19117689999996</v>
      </c>
      <c r="M12" s="160">
        <v>0.17218839999999999</v>
      </c>
      <c r="N12" s="161">
        <f t="shared" si="0"/>
        <v>115200.9509962</v>
      </c>
      <c r="O12" s="167">
        <v>3442.2762518400032</v>
      </c>
      <c r="P12" s="163">
        <f t="shared" si="1"/>
        <v>118643.22724804</v>
      </c>
      <c r="Q12" s="43"/>
    </row>
    <row r="13" spans="1:17" ht="12.75" customHeight="1" x14ac:dyDescent="0.2">
      <c r="B13" s="164"/>
      <c r="C13" s="157">
        <v>7</v>
      </c>
      <c r="D13" s="158">
        <v>98074.046228000007</v>
      </c>
      <c r="E13" s="158">
        <v>1828.13106014</v>
      </c>
      <c r="F13" s="158">
        <v>319.93695668999999</v>
      </c>
      <c r="G13" s="158">
        <v>628.96725187999982</v>
      </c>
      <c r="H13" s="158">
        <f t="shared" si="2"/>
        <v>2777.0352687099999</v>
      </c>
      <c r="I13" s="160">
        <v>13181.00748124</v>
      </c>
      <c r="J13" s="160">
        <v>293.51921329999999</v>
      </c>
      <c r="K13" s="160">
        <v>10092.008576600001</v>
      </c>
      <c r="L13" s="160">
        <v>36.646823699999999</v>
      </c>
      <c r="M13" s="160">
        <v>0.20740800000000001</v>
      </c>
      <c r="N13" s="161">
        <f t="shared" si="0"/>
        <v>124454.47099955</v>
      </c>
      <c r="O13" s="167">
        <v>3919.2684297199999</v>
      </c>
      <c r="P13" s="163">
        <f t="shared" si="1"/>
        <v>128373.73942927</v>
      </c>
      <c r="Q13" s="43"/>
    </row>
    <row r="14" spans="1:17" ht="12.75" customHeight="1" x14ac:dyDescent="0.2">
      <c r="B14" s="164"/>
      <c r="C14" s="157">
        <v>8</v>
      </c>
      <c r="D14" s="158">
        <v>95519.71806146999</v>
      </c>
      <c r="E14" s="158">
        <v>7914.4120787200009</v>
      </c>
      <c r="F14" s="158">
        <v>1044.1449642299999</v>
      </c>
      <c r="G14" s="158">
        <v>547.65825746000007</v>
      </c>
      <c r="H14" s="158">
        <f t="shared" si="2"/>
        <v>9506.2153004100001</v>
      </c>
      <c r="I14" s="158">
        <v>3712.9114179700005</v>
      </c>
      <c r="J14" s="160">
        <v>312.29390839999985</v>
      </c>
      <c r="K14" s="160">
        <v>11005.72241</v>
      </c>
      <c r="L14" s="160">
        <v>284.97895110000002</v>
      </c>
      <c r="M14" s="160">
        <v>0.23646800000000001</v>
      </c>
      <c r="N14" s="161">
        <f t="shared" si="0"/>
        <v>120342.07651734998</v>
      </c>
      <c r="O14" s="167">
        <v>4224.9096783900022</v>
      </c>
      <c r="P14" s="163">
        <f t="shared" si="1"/>
        <v>124566.98619573998</v>
      </c>
      <c r="Q14" s="43"/>
    </row>
    <row r="15" spans="1:17" ht="12.75" customHeight="1" x14ac:dyDescent="0.2">
      <c r="B15" s="164"/>
      <c r="C15" s="157">
        <v>9</v>
      </c>
      <c r="D15" s="158">
        <v>102564.62844477998</v>
      </c>
      <c r="E15" s="158">
        <v>2591.6049090600004</v>
      </c>
      <c r="F15" s="158">
        <v>419.39767890000002</v>
      </c>
      <c r="G15" s="158">
        <v>6119.7000919499997</v>
      </c>
      <c r="H15" s="158">
        <f t="shared" si="2"/>
        <v>9130.7026799100004</v>
      </c>
      <c r="I15" s="160">
        <v>12532.170338749997</v>
      </c>
      <c r="J15" s="160">
        <v>295.04793290000003</v>
      </c>
      <c r="K15" s="161">
        <v>11831.638398500005</v>
      </c>
      <c r="L15" s="160">
        <v>69.424061800000004</v>
      </c>
      <c r="M15" s="165">
        <v>0.2659627</v>
      </c>
      <c r="N15" s="161">
        <f t="shared" si="0"/>
        <v>136423.87781933998</v>
      </c>
      <c r="O15" s="167">
        <v>4282.4040017100033</v>
      </c>
      <c r="P15" s="163">
        <f t="shared" si="1"/>
        <v>140706.28182104998</v>
      </c>
      <c r="Q15" s="43"/>
    </row>
    <row r="16" spans="1:17" ht="12.75" customHeight="1" x14ac:dyDescent="0.2">
      <c r="B16" s="164"/>
      <c r="C16" s="157">
        <v>10</v>
      </c>
      <c r="D16" s="158">
        <v>109297.34802872001</v>
      </c>
      <c r="E16" s="158">
        <v>7425.8038587550063</v>
      </c>
      <c r="F16" s="158">
        <v>334.64608297945608</v>
      </c>
      <c r="G16" s="158">
        <v>746.54323910855396</v>
      </c>
      <c r="H16" s="158">
        <f t="shared" si="2"/>
        <v>8506.9931808430156</v>
      </c>
      <c r="I16" s="160">
        <v>3832.3442846791868</v>
      </c>
      <c r="J16" s="160">
        <v>350.19667630000004</v>
      </c>
      <c r="K16" s="160">
        <v>12112.749313499997</v>
      </c>
      <c r="L16" s="160">
        <v>285.43318720000127</v>
      </c>
      <c r="M16" s="160">
        <v>0.23970969999999997</v>
      </c>
      <c r="N16" s="161">
        <f t="shared" si="0"/>
        <v>134385.30438094219</v>
      </c>
      <c r="O16" s="162">
        <v>4352.6387301378209</v>
      </c>
      <c r="P16" s="163">
        <f t="shared" si="1"/>
        <v>138737.94311108001</v>
      </c>
      <c r="Q16" s="43"/>
    </row>
    <row r="17" spans="1:17" ht="12.75" customHeight="1" x14ac:dyDescent="0.2">
      <c r="B17" s="164"/>
      <c r="C17" s="157">
        <v>11</v>
      </c>
      <c r="D17" s="158">
        <v>108270.44706985007</v>
      </c>
      <c r="E17" s="158">
        <v>2205.8220123618075</v>
      </c>
      <c r="F17" s="158">
        <v>369.07911212737241</v>
      </c>
      <c r="G17" s="158">
        <v>6069.4034118829004</v>
      </c>
      <c r="H17" s="158">
        <f t="shared" si="2"/>
        <v>8644.3045363720812</v>
      </c>
      <c r="I17" s="160">
        <v>13539.663937786881</v>
      </c>
      <c r="J17" s="160">
        <v>391.10416479999998</v>
      </c>
      <c r="K17" s="160">
        <v>11265.543299000001</v>
      </c>
      <c r="L17" s="160">
        <v>66.197043600000015</v>
      </c>
      <c r="M17" s="160">
        <v>0.20480199999999996</v>
      </c>
      <c r="N17" s="161">
        <v>142177.46485340904</v>
      </c>
      <c r="O17" s="168">
        <v>4764.058239440682</v>
      </c>
      <c r="P17" s="163">
        <f t="shared" si="1"/>
        <v>146941.52309284973</v>
      </c>
      <c r="Q17" s="43"/>
    </row>
    <row r="18" spans="1:17" thickBot="1" x14ac:dyDescent="0.25">
      <c r="B18" s="164"/>
      <c r="C18" s="157">
        <v>12</v>
      </c>
      <c r="D18" s="158">
        <v>115200.18679779999</v>
      </c>
      <c r="E18" s="158">
        <v>1459.5727409703111</v>
      </c>
      <c r="F18" s="158">
        <v>243.50693240569697</v>
      </c>
      <c r="G18" s="158">
        <v>358.27662699896143</v>
      </c>
      <c r="H18" s="158">
        <f t="shared" si="2"/>
        <v>2061.3563003749696</v>
      </c>
      <c r="I18" s="160">
        <v>3116.669506838884</v>
      </c>
      <c r="J18" s="160">
        <v>538.46755599999995</v>
      </c>
      <c r="K18" s="160">
        <v>11266.6102773</v>
      </c>
      <c r="L18" s="160">
        <v>34.394471799999977</v>
      </c>
      <c r="M18" s="160">
        <v>0.24058690000000002</v>
      </c>
      <c r="N18" s="161">
        <f t="shared" ref="N18" si="3">+M18+L18+K18++J18+I18+H18+D18</f>
        <v>132217.92549701384</v>
      </c>
      <c r="O18" s="162">
        <v>4504.9023775861533</v>
      </c>
      <c r="P18" s="163">
        <f t="shared" si="1"/>
        <v>136722.82787459999</v>
      </c>
      <c r="Q18" s="43"/>
    </row>
    <row r="19" spans="1:17" s="101" customFormat="1" thickBot="1" x14ac:dyDescent="0.25">
      <c r="A19" s="119"/>
      <c r="B19" s="217" t="s">
        <v>2</v>
      </c>
      <c r="C19" s="218"/>
      <c r="D19" s="152">
        <f t="shared" ref="D19:P19" si="4">SUM(D7:D18)</f>
        <v>1059438.3966801499</v>
      </c>
      <c r="E19" s="152">
        <f t="shared" si="4"/>
        <v>59803.410166497124</v>
      </c>
      <c r="F19" s="152">
        <f t="shared" si="4"/>
        <v>7735.7415262325239</v>
      </c>
      <c r="G19" s="152">
        <f t="shared" si="4"/>
        <v>28934.047025730415</v>
      </c>
      <c r="H19" s="152">
        <f t="shared" si="4"/>
        <v>96473.198718460088</v>
      </c>
      <c r="I19" s="152">
        <f t="shared" si="4"/>
        <v>90136.251077394962</v>
      </c>
      <c r="J19" s="152">
        <f t="shared" si="4"/>
        <v>3474.7788688000001</v>
      </c>
      <c r="K19" s="152">
        <f t="shared" si="4"/>
        <v>116201.9115547</v>
      </c>
      <c r="L19" s="152">
        <f t="shared" si="4"/>
        <v>2172.0789434000008</v>
      </c>
      <c r="M19" s="152">
        <f t="shared" si="4"/>
        <v>2.3250446999999999</v>
      </c>
      <c r="N19" s="152">
        <f t="shared" si="4"/>
        <v>1367898.9408876048</v>
      </c>
      <c r="O19" s="152">
        <f t="shared" si="4"/>
        <v>40870.262805664664</v>
      </c>
      <c r="P19" s="152">
        <f t="shared" si="4"/>
        <v>1408769.2036932695</v>
      </c>
    </row>
    <row r="20" spans="1:17" s="169" customFormat="1" ht="12.75" customHeight="1" x14ac:dyDescent="0.2">
      <c r="B20" s="170" t="s">
        <v>43</v>
      </c>
      <c r="C20" s="171"/>
      <c r="D20" s="172"/>
      <c r="E20" s="173"/>
      <c r="F20" s="57"/>
      <c r="P20" s="174"/>
    </row>
    <row r="21" spans="1:17" s="154" customFormat="1" ht="12.75" customHeight="1" x14ac:dyDescent="0.2">
      <c r="C21" s="21"/>
      <c r="D21" s="31"/>
      <c r="E21" s="175"/>
      <c r="F21" s="155"/>
    </row>
    <row r="22" spans="1:17" ht="12.75" customHeight="1" x14ac:dyDescent="0.2">
      <c r="C22" t="s">
        <v>0</v>
      </c>
      <c r="D22" s="43"/>
      <c r="E22" s="43"/>
      <c r="F22" s="43"/>
      <c r="G22" s="43"/>
      <c r="H22" s="43"/>
      <c r="I22" s="43"/>
      <c r="J22" s="43"/>
      <c r="K22" s="43"/>
      <c r="L22" s="43"/>
      <c r="M22" s="43"/>
      <c r="O22" s="43"/>
      <c r="P22" s="43"/>
    </row>
    <row r="23" spans="1:17" ht="12.75" customHeight="1" x14ac:dyDescent="0.2">
      <c r="G23" s="43"/>
      <c r="H23" s="43"/>
    </row>
  </sheetData>
  <mergeCells count="10">
    <mergeCell ref="N5:N6"/>
    <mergeCell ref="O5:O6"/>
    <mergeCell ref="P5:P6"/>
    <mergeCell ref="B19:C19"/>
    <mergeCell ref="D5:D6"/>
    <mergeCell ref="I5:I6"/>
    <mergeCell ref="J5:J6"/>
    <mergeCell ref="K5:K6"/>
    <mergeCell ref="L5:L6"/>
    <mergeCell ref="M5:M6"/>
  </mergeCells>
  <conditionalFormatting sqref="E20 K9:O11 K7:P8 J10:J11 I7:J9 D7:H18 I10:I18 P9:P18 J12:O18">
    <cfRule type="cellIs" dxfId="42" priority="8" stopIfTrue="1" operator="equal">
      <formula>0</formula>
    </cfRule>
  </conditionalFormatting>
  <conditionalFormatting sqref="O11">
    <cfRule type="cellIs" dxfId="41" priority="7" stopIfTrue="1" operator="equal">
      <formula>0</formula>
    </cfRule>
  </conditionalFormatting>
  <conditionalFormatting sqref="D8">
    <cfRule type="cellIs" dxfId="40" priority="6" stopIfTrue="1" operator="equal">
      <formula>0</formula>
    </cfRule>
  </conditionalFormatting>
  <conditionalFormatting sqref="I14">
    <cfRule type="cellIs" dxfId="39" priority="5" stopIfTrue="1" operator="equal">
      <formula>0</formula>
    </cfRule>
  </conditionalFormatting>
  <conditionalFormatting sqref="I14">
    <cfRule type="cellIs" dxfId="38" priority="4" stopIfTrue="1" operator="equal">
      <formula>0</formula>
    </cfRule>
  </conditionalFormatting>
  <conditionalFormatting sqref="D19:P19 B19">
    <cfRule type="cellIs" dxfId="37" priority="3" stopIfTrue="1" operator="equal">
      <formula>0</formula>
    </cfRule>
  </conditionalFormatting>
  <conditionalFormatting sqref="B19:C19">
    <cfRule type="cellIs" dxfId="36" priority="2" stopIfTrue="1" operator="equal">
      <formula>0</formula>
    </cfRule>
  </conditionalFormatting>
  <conditionalFormatting sqref="B19:P19">
    <cfRule type="cellIs" dxfId="35" priority="1" stopIfTrue="1" operator="equal">
      <formula>0</formula>
    </cfRule>
  </conditionalFormatting>
  <pageMargins left="0.75" right="0.75" top="1" bottom="1" header="0" footer="0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2"/>
  <sheetViews>
    <sheetView workbookViewId="0">
      <selection activeCell="C27" sqref="C27"/>
    </sheetView>
  </sheetViews>
  <sheetFormatPr baseColWidth="10" defaultRowHeight="13.5" customHeight="1" x14ac:dyDescent="0.2"/>
  <cols>
    <col min="1" max="1" width="6.140625" customWidth="1"/>
    <col min="2" max="2" width="7" customWidth="1"/>
    <col min="3" max="3" width="9.140625" customWidth="1"/>
    <col min="4" max="4" width="12.42578125" customWidth="1"/>
    <col min="5" max="5" width="11.42578125" bestFit="1" customWidth="1"/>
    <col min="6" max="6" width="9.140625" customWidth="1"/>
    <col min="7" max="8" width="10.140625" bestFit="1" customWidth="1"/>
    <col min="9" max="9" width="10.42578125" customWidth="1"/>
    <col min="10" max="10" width="14" customWidth="1"/>
    <col min="11" max="11" width="10.140625" bestFit="1" customWidth="1"/>
    <col min="12" max="12" width="9" customWidth="1"/>
    <col min="13" max="13" width="13" customWidth="1"/>
    <col min="15" max="15" width="12.42578125" customWidth="1"/>
    <col min="16" max="16" width="14.42578125" customWidth="1"/>
  </cols>
  <sheetData>
    <row r="2" spans="2:17" ht="13.5" customHeight="1" x14ac:dyDescent="0.2">
      <c r="B2" s="105" t="s">
        <v>15</v>
      </c>
      <c r="C2" s="105"/>
      <c r="D2" s="106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8"/>
      <c r="P2" s="109"/>
    </row>
    <row r="3" spans="2:17" ht="13.5" customHeight="1" thickBot="1" x14ac:dyDescent="0.25">
      <c r="B3" s="110" t="s">
        <v>45</v>
      </c>
      <c r="C3" s="110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2"/>
    </row>
    <row r="4" spans="2:17" ht="13.5" customHeight="1" x14ac:dyDescent="0.2">
      <c r="B4" s="131" t="s">
        <v>13</v>
      </c>
      <c r="C4" s="132"/>
      <c r="D4" s="219" t="s">
        <v>1</v>
      </c>
      <c r="E4" s="133" t="s">
        <v>3</v>
      </c>
      <c r="F4" s="133"/>
      <c r="G4" s="133"/>
      <c r="H4" s="133"/>
      <c r="I4" s="221" t="s">
        <v>4</v>
      </c>
      <c r="J4" s="223" t="s">
        <v>32</v>
      </c>
      <c r="K4" s="225" t="s">
        <v>5</v>
      </c>
      <c r="L4" s="227" t="s">
        <v>6</v>
      </c>
      <c r="M4" s="223" t="s">
        <v>16</v>
      </c>
      <c r="N4" s="211" t="s">
        <v>7</v>
      </c>
      <c r="O4" s="213" t="s">
        <v>8</v>
      </c>
      <c r="P4" s="215" t="s">
        <v>20</v>
      </c>
    </row>
    <row r="5" spans="2:17" ht="12.75" customHeight="1" thickBot="1" x14ac:dyDescent="0.25">
      <c r="B5" s="134" t="s">
        <v>14</v>
      </c>
      <c r="C5" s="135" t="s">
        <v>12</v>
      </c>
      <c r="D5" s="220"/>
      <c r="E5" s="136" t="s">
        <v>9</v>
      </c>
      <c r="F5" s="136" t="s">
        <v>10</v>
      </c>
      <c r="G5" s="136" t="s">
        <v>11</v>
      </c>
      <c r="H5" s="136" t="s">
        <v>2</v>
      </c>
      <c r="I5" s="222"/>
      <c r="J5" s="224"/>
      <c r="K5" s="226"/>
      <c r="L5" s="228"/>
      <c r="M5" s="229"/>
      <c r="N5" s="212"/>
      <c r="O5" s="214"/>
      <c r="P5" s="216"/>
    </row>
    <row r="6" spans="2:17" ht="12.75" customHeight="1" x14ac:dyDescent="0.2">
      <c r="B6" s="156">
        <v>2021</v>
      </c>
      <c r="C6" s="157">
        <v>1</v>
      </c>
      <c r="D6" s="158">
        <v>39904.638705340003</v>
      </c>
      <c r="E6" s="158">
        <v>643.00780393999992</v>
      </c>
      <c r="F6" s="158">
        <v>113.49349907999999</v>
      </c>
      <c r="G6" s="158">
        <v>153.27650093000003</v>
      </c>
      <c r="H6" s="158">
        <v>909.77780394999991</v>
      </c>
      <c r="I6" s="159">
        <v>9710.3251147800001</v>
      </c>
      <c r="J6" s="160">
        <v>156.49032259999996</v>
      </c>
      <c r="K6" s="160">
        <v>4472.8579519000004</v>
      </c>
      <c r="L6" s="160">
        <v>14.448276200000002</v>
      </c>
      <c r="M6" s="160">
        <v>5.2950000000000004E-2</v>
      </c>
      <c r="N6" s="161">
        <f>+M6+L6+K6++J6+I6+H6+D6</f>
        <v>55168.591124769999</v>
      </c>
      <c r="O6" s="162">
        <v>1521.5406068899929</v>
      </c>
      <c r="P6" s="163">
        <f>+O6+N6</f>
        <v>56690.131731659989</v>
      </c>
      <c r="Q6" s="43"/>
    </row>
    <row r="7" spans="2:17" ht="12.75" customHeight="1" x14ac:dyDescent="0.2">
      <c r="B7" s="164"/>
      <c r="C7" s="157">
        <v>2</v>
      </c>
      <c r="D7" s="158">
        <v>37375.088638610017</v>
      </c>
      <c r="E7" s="158">
        <v>8460.4017841199984</v>
      </c>
      <c r="F7" s="158">
        <v>1070.51551597</v>
      </c>
      <c r="G7" s="158">
        <v>303.12453631000005</v>
      </c>
      <c r="H7" s="158">
        <v>9834.0418363999997</v>
      </c>
      <c r="I7" s="159">
        <v>4542.1787825000001</v>
      </c>
      <c r="J7" s="160">
        <v>111.666038</v>
      </c>
      <c r="K7" s="160">
        <v>4376.8676946000005</v>
      </c>
      <c r="L7" s="160">
        <v>353.5469946</v>
      </c>
      <c r="M7" s="160">
        <v>7.9125100000000004E-2</v>
      </c>
      <c r="N7" s="161">
        <f t="shared" ref="N7:N17" si="0">+M7+L7+K7++J7+I7+H7+D7</f>
        <v>56593.469109810016</v>
      </c>
      <c r="O7" s="165">
        <v>1389.9979406600023</v>
      </c>
      <c r="P7" s="163">
        <f t="shared" ref="P7:P17" si="1">+O7+N7</f>
        <v>57983.467050470019</v>
      </c>
      <c r="Q7" s="43"/>
    </row>
    <row r="8" spans="2:17" ht="12.75" customHeight="1" x14ac:dyDescent="0.2">
      <c r="B8" s="164"/>
      <c r="C8" s="157">
        <v>3</v>
      </c>
      <c r="D8" s="158">
        <v>39910.550046659999</v>
      </c>
      <c r="E8" s="158">
        <v>3211.4762435300008</v>
      </c>
      <c r="F8" s="158">
        <v>463.66303472000004</v>
      </c>
      <c r="G8" s="158">
        <v>4541.1130411900003</v>
      </c>
      <c r="H8" s="158">
        <v>8216.2523194400019</v>
      </c>
      <c r="I8" s="160">
        <v>7554.1785559700011</v>
      </c>
      <c r="J8" s="160">
        <v>136.0304324</v>
      </c>
      <c r="K8" s="160">
        <v>4535.419503000001</v>
      </c>
      <c r="L8" s="160">
        <v>121.63644570000001</v>
      </c>
      <c r="M8" s="161">
        <v>7.3681300000000005E-2</v>
      </c>
      <c r="N8" s="161">
        <f t="shared" si="0"/>
        <v>60474.140984470003</v>
      </c>
      <c r="O8" s="166">
        <v>1575.4151159600021</v>
      </c>
      <c r="P8" s="163">
        <f t="shared" si="1"/>
        <v>62049.556100430003</v>
      </c>
      <c r="Q8" s="43"/>
    </row>
    <row r="9" spans="2:17" ht="12.75" customHeight="1" x14ac:dyDescent="0.2">
      <c r="B9" s="164"/>
      <c r="C9" s="157">
        <v>4</v>
      </c>
      <c r="D9" s="158">
        <v>45490.535455839999</v>
      </c>
      <c r="E9" s="158">
        <v>4665.3149826600002</v>
      </c>
      <c r="F9" s="158">
        <v>618.19716248999998</v>
      </c>
      <c r="G9" s="158">
        <v>254.66962477000001</v>
      </c>
      <c r="H9" s="158">
        <v>5538.1817699200001</v>
      </c>
      <c r="I9" s="160">
        <v>2427.1012896800003</v>
      </c>
      <c r="J9" s="160">
        <v>119.3742002</v>
      </c>
      <c r="K9" s="160">
        <v>5477.3221119000009</v>
      </c>
      <c r="L9" s="160">
        <v>182.63508789999995</v>
      </c>
      <c r="M9" s="160">
        <v>8.3382100000000001E-2</v>
      </c>
      <c r="N9" s="161">
        <f t="shared" si="0"/>
        <v>59235.233297539999</v>
      </c>
      <c r="O9" s="162">
        <v>1413.5613357699995</v>
      </c>
      <c r="P9" s="163">
        <f t="shared" si="1"/>
        <v>60648.794633309997</v>
      </c>
      <c r="Q9" s="43"/>
    </row>
    <row r="10" spans="2:17" ht="12.75" customHeight="1" x14ac:dyDescent="0.2">
      <c r="B10" s="164"/>
      <c r="C10" s="157">
        <v>5</v>
      </c>
      <c r="D10" s="158">
        <v>44892.717320650001</v>
      </c>
      <c r="E10" s="159">
        <v>1538.60401348</v>
      </c>
      <c r="F10" s="159">
        <v>239.06862986999994</v>
      </c>
      <c r="G10" s="159">
        <v>362.83934657999998</v>
      </c>
      <c r="H10" s="158">
        <v>2140.5119899299998</v>
      </c>
      <c r="I10" s="159">
        <v>7936.73923113</v>
      </c>
      <c r="J10" s="159">
        <v>90.827116799999999</v>
      </c>
      <c r="K10" s="159">
        <v>5296.5968078000005</v>
      </c>
      <c r="L10" s="159">
        <v>46.765735899999989</v>
      </c>
      <c r="M10" s="160">
        <v>5.0232100000000002E-2</v>
      </c>
      <c r="N10" s="161">
        <f t="shared" si="0"/>
        <v>60404.20843431</v>
      </c>
      <c r="O10" s="162">
        <v>1520.5262049400048</v>
      </c>
      <c r="P10" s="163">
        <f t="shared" si="1"/>
        <v>61924.734639250004</v>
      </c>
      <c r="Q10" s="43"/>
    </row>
    <row r="11" spans="2:17" ht="12.75" customHeight="1" x14ac:dyDescent="0.2">
      <c r="B11" s="164"/>
      <c r="C11" s="157">
        <v>6</v>
      </c>
      <c r="D11" s="158">
        <v>48785.994779999994</v>
      </c>
      <c r="E11" s="158">
        <v>5190.6683220600007</v>
      </c>
      <c r="F11" s="158">
        <v>726.4673778099999</v>
      </c>
      <c r="G11" s="158">
        <v>4334.5056752399996</v>
      </c>
      <c r="H11" s="158">
        <v>10251.641375110001</v>
      </c>
      <c r="I11" s="160">
        <v>2299.0194195200002</v>
      </c>
      <c r="J11" s="160">
        <v>130.42998169999998</v>
      </c>
      <c r="K11" s="160">
        <v>5179.4679566000004</v>
      </c>
      <c r="L11" s="160">
        <v>201.69710040000001</v>
      </c>
      <c r="M11" s="160">
        <v>5.7329600000000001E-2</v>
      </c>
      <c r="N11" s="161">
        <f t="shared" si="0"/>
        <v>66848.307942929998</v>
      </c>
      <c r="O11" s="167">
        <v>1860.8603399628416</v>
      </c>
      <c r="P11" s="163">
        <f t="shared" si="1"/>
        <v>68709.168282892846</v>
      </c>
      <c r="Q11" s="43"/>
    </row>
    <row r="12" spans="2:17" ht="12.75" customHeight="1" x14ac:dyDescent="0.2">
      <c r="B12" s="164"/>
      <c r="C12" s="157">
        <v>7</v>
      </c>
      <c r="D12" s="158">
        <v>50894.685682060001</v>
      </c>
      <c r="E12" s="158">
        <v>1165.8952069899999</v>
      </c>
      <c r="F12" s="158">
        <v>239.01649505999995</v>
      </c>
      <c r="G12" s="158">
        <v>342.62652545000003</v>
      </c>
      <c r="H12" s="158">
        <v>1747.5382274999997</v>
      </c>
      <c r="I12" s="160">
        <v>8075.4404812600005</v>
      </c>
      <c r="J12" s="160">
        <v>124.06544830000003</v>
      </c>
      <c r="K12" s="160">
        <v>5734.6027816999986</v>
      </c>
      <c r="L12" s="160">
        <v>34.208361199999999</v>
      </c>
      <c r="M12" s="160">
        <v>0.12463599999999998</v>
      </c>
      <c r="N12" s="161">
        <f t="shared" si="0"/>
        <v>66610.665618019993</v>
      </c>
      <c r="O12" s="167">
        <v>1941.7940487200026</v>
      </c>
      <c r="P12" s="163">
        <f t="shared" si="1"/>
        <v>68552.459666739989</v>
      </c>
      <c r="Q12" s="43"/>
    </row>
    <row r="13" spans="2:17" ht="12.75" customHeight="1" x14ac:dyDescent="0.2">
      <c r="B13" s="164"/>
      <c r="C13" s="157">
        <v>8</v>
      </c>
      <c r="D13" s="158">
        <v>47018.899671879997</v>
      </c>
      <c r="E13" s="158">
        <v>4307.2638496</v>
      </c>
      <c r="F13" s="158">
        <v>594.48910760000001</v>
      </c>
      <c r="G13" s="158">
        <v>366.32703249000002</v>
      </c>
      <c r="H13" s="158">
        <v>5268.0799896900007</v>
      </c>
      <c r="I13" s="160">
        <v>2281.4404671100001</v>
      </c>
      <c r="J13" s="160">
        <v>135.83182419999997</v>
      </c>
      <c r="K13" s="160">
        <v>6159.4769564000007</v>
      </c>
      <c r="L13" s="160">
        <v>168.90902119999993</v>
      </c>
      <c r="M13" s="160">
        <v>0.11749250000000003</v>
      </c>
      <c r="N13" s="161">
        <f t="shared" si="0"/>
        <v>61032.755422980001</v>
      </c>
      <c r="O13" s="167">
        <v>1971.0076485199961</v>
      </c>
      <c r="P13" s="163">
        <f t="shared" si="1"/>
        <v>63003.763071499998</v>
      </c>
      <c r="Q13" s="43"/>
    </row>
    <row r="14" spans="2:17" ht="12.75" customHeight="1" x14ac:dyDescent="0.2">
      <c r="B14" s="164"/>
      <c r="C14" s="157">
        <v>9</v>
      </c>
      <c r="D14" s="158">
        <v>48281.049070960005</v>
      </c>
      <c r="E14" s="158">
        <v>1657.2164525699995</v>
      </c>
      <c r="F14" s="158">
        <v>250.10640439000002</v>
      </c>
      <c r="G14" s="158">
        <v>4199.1729558999996</v>
      </c>
      <c r="H14" s="158">
        <v>6106.4958128599992</v>
      </c>
      <c r="I14" s="160">
        <v>7980.6893675900001</v>
      </c>
      <c r="J14" s="160">
        <v>141.99381880000001</v>
      </c>
      <c r="K14" s="161">
        <v>6257.8488216999995</v>
      </c>
      <c r="L14" s="160">
        <v>56.275765299999989</v>
      </c>
      <c r="M14" s="165">
        <v>0.1242515</v>
      </c>
      <c r="N14" s="161">
        <f t="shared" si="0"/>
        <v>68824.476908709999</v>
      </c>
      <c r="O14" s="167">
        <v>1903.8158181100027</v>
      </c>
      <c r="P14" s="163">
        <f t="shared" si="1"/>
        <v>70728.29272682</v>
      </c>
      <c r="Q14" s="43"/>
    </row>
    <row r="15" spans="2:17" ht="12.75" customHeight="1" x14ac:dyDescent="0.2">
      <c r="B15" s="164"/>
      <c r="C15" s="157">
        <v>10</v>
      </c>
      <c r="D15" s="158">
        <v>55248.688450729998</v>
      </c>
      <c r="E15" s="158">
        <v>4124.7522425099996</v>
      </c>
      <c r="F15" s="158">
        <v>157.80498482999997</v>
      </c>
      <c r="G15" s="158">
        <v>257.18533580000002</v>
      </c>
      <c r="H15" s="158">
        <v>4539.7425631399992</v>
      </c>
      <c r="I15" s="160">
        <v>2060.6482754300005</v>
      </c>
      <c r="J15" s="160">
        <v>148.58177210000002</v>
      </c>
      <c r="K15" s="160">
        <v>6229.5304851000001</v>
      </c>
      <c r="L15" s="160">
        <v>162.32639629999997</v>
      </c>
      <c r="M15" s="160">
        <v>0.16915360000000002</v>
      </c>
      <c r="N15" s="161">
        <f t="shared" si="0"/>
        <v>68389.687096399997</v>
      </c>
      <c r="O15" s="162">
        <v>1966.9134449600001</v>
      </c>
      <c r="P15" s="163">
        <f t="shared" si="1"/>
        <v>70356.600541359992</v>
      </c>
      <c r="Q15" s="43"/>
    </row>
    <row r="16" spans="2:17" ht="12.75" customHeight="1" x14ac:dyDescent="0.2">
      <c r="B16" s="164"/>
      <c r="C16" s="157">
        <v>11</v>
      </c>
      <c r="D16" s="158">
        <v>60270.926852390003</v>
      </c>
      <c r="E16" s="158">
        <v>1479.2416431999998</v>
      </c>
      <c r="F16" s="158">
        <v>205.80653723000003</v>
      </c>
      <c r="G16" s="158">
        <v>4279.9956431600003</v>
      </c>
      <c r="H16" s="158">
        <v>5965.0438235900001</v>
      </c>
      <c r="I16" s="160">
        <v>1944.1561492599997</v>
      </c>
      <c r="J16" s="160">
        <v>251.36085560000004</v>
      </c>
      <c r="K16" s="160">
        <v>6756.5079459999997</v>
      </c>
      <c r="L16" s="160">
        <v>47.921681399999997</v>
      </c>
      <c r="M16" s="160">
        <v>0.14296019999999998</v>
      </c>
      <c r="N16" s="161">
        <f t="shared" si="0"/>
        <v>75236.060268440007</v>
      </c>
      <c r="O16" s="168">
        <v>1943.5060673299972</v>
      </c>
      <c r="P16" s="163">
        <f t="shared" si="1"/>
        <v>77179.56633577001</v>
      </c>
      <c r="Q16" s="43"/>
    </row>
    <row r="17" spans="1:17" thickBot="1" x14ac:dyDescent="0.25">
      <c r="B17" s="164"/>
      <c r="C17" s="157">
        <v>12</v>
      </c>
      <c r="D17" s="158">
        <v>61099.981664129999</v>
      </c>
      <c r="E17" s="158">
        <v>905.94312802999991</v>
      </c>
      <c r="F17" s="158">
        <v>170.48512312</v>
      </c>
      <c r="G17" s="158">
        <v>275.96563369</v>
      </c>
      <c r="H17" s="158">
        <v>1352.3938848399998</v>
      </c>
      <c r="I17" s="160">
        <v>1897.0609695100002</v>
      </c>
      <c r="J17" s="160">
        <v>709.12996050000015</v>
      </c>
      <c r="K17" s="160">
        <v>6569.059133400001</v>
      </c>
      <c r="L17" s="160">
        <v>21.771005800000005</v>
      </c>
      <c r="M17" s="160">
        <v>9.4919600000000021E-2</v>
      </c>
      <c r="N17" s="161">
        <f t="shared" si="0"/>
        <v>71649.491537780006</v>
      </c>
      <c r="O17" s="162">
        <v>2002.784502150002</v>
      </c>
      <c r="P17" s="163">
        <f t="shared" si="1"/>
        <v>73652.276039930002</v>
      </c>
      <c r="Q17" s="43"/>
    </row>
    <row r="18" spans="1:17" s="101" customFormat="1" thickBot="1" x14ac:dyDescent="0.25">
      <c r="A18" s="119"/>
      <c r="B18" s="217" t="s">
        <v>2</v>
      </c>
      <c r="C18" s="218"/>
      <c r="D18" s="152">
        <f t="shared" ref="D18:P18" si="2">SUM(D6:D17)</f>
        <v>579173.75633925013</v>
      </c>
      <c r="E18" s="152">
        <f t="shared" si="2"/>
        <v>37349.785672689999</v>
      </c>
      <c r="F18" s="152">
        <f t="shared" si="2"/>
        <v>4849.113872169999</v>
      </c>
      <c r="G18" s="152">
        <f t="shared" si="2"/>
        <v>19670.801851510001</v>
      </c>
      <c r="H18" s="152">
        <f t="shared" si="2"/>
        <v>61869.701396369994</v>
      </c>
      <c r="I18" s="152">
        <f t="shared" si="2"/>
        <v>58708.978103740003</v>
      </c>
      <c r="J18" s="152">
        <f t="shared" si="2"/>
        <v>2255.7817712000005</v>
      </c>
      <c r="K18" s="152">
        <f t="shared" si="2"/>
        <v>67045.558150099998</v>
      </c>
      <c r="L18" s="152">
        <f t="shared" si="2"/>
        <v>1412.1418718999998</v>
      </c>
      <c r="M18" s="152">
        <f t="shared" si="2"/>
        <v>1.1701136000000001</v>
      </c>
      <c r="N18" s="152">
        <f t="shared" si="2"/>
        <v>770467.0877461601</v>
      </c>
      <c r="O18" s="152">
        <f t="shared" si="2"/>
        <v>21011.723073972844</v>
      </c>
      <c r="P18" s="152">
        <f t="shared" si="2"/>
        <v>791478.81082013296</v>
      </c>
    </row>
    <row r="19" spans="1:17" s="169" customFormat="1" ht="12.75" customHeight="1" x14ac:dyDescent="0.2">
      <c r="B19" s="170" t="s">
        <v>43</v>
      </c>
      <c r="C19" s="171"/>
      <c r="D19" s="172"/>
      <c r="E19" s="173"/>
      <c r="F19" s="57"/>
      <c r="P19" s="174"/>
    </row>
    <row r="20" spans="1:17" s="154" customFormat="1" ht="12.75" customHeight="1" x14ac:dyDescent="0.2">
      <c r="C20" s="21"/>
      <c r="D20" s="31"/>
      <c r="E20" s="175"/>
      <c r="F20" s="155"/>
    </row>
    <row r="21" spans="1:17" ht="12.75" customHeight="1" x14ac:dyDescent="0.2">
      <c r="C21" t="s">
        <v>0</v>
      </c>
      <c r="D21" s="43"/>
      <c r="E21" s="43"/>
      <c r="F21" s="43"/>
      <c r="G21" s="43"/>
      <c r="H21" s="43"/>
      <c r="I21" s="43"/>
      <c r="J21" s="43"/>
      <c r="K21" s="43"/>
      <c r="L21" s="43"/>
      <c r="M21" s="43"/>
      <c r="O21" s="43"/>
      <c r="P21" s="43"/>
    </row>
    <row r="22" spans="1:17" ht="12.75" customHeight="1" x14ac:dyDescent="0.2"/>
  </sheetData>
  <mergeCells count="10">
    <mergeCell ref="N4:N5"/>
    <mergeCell ref="O4:O5"/>
    <mergeCell ref="P4:P5"/>
    <mergeCell ref="B18:C18"/>
    <mergeCell ref="D4:D5"/>
    <mergeCell ref="I4:I5"/>
    <mergeCell ref="J4:J5"/>
    <mergeCell ref="K4:K5"/>
    <mergeCell ref="L4:L5"/>
    <mergeCell ref="M4:M5"/>
  </mergeCells>
  <conditionalFormatting sqref="E19 D11:D18 E18:P18 K8:O10 K6:P7 J9:J10 I6:J8 I9:I13 P8:P13 J11:O13 I14:P17 E11:H17 D6:H10 B18">
    <cfRule type="cellIs" dxfId="34" priority="3" stopIfTrue="1" operator="equal">
      <formula>0</formula>
    </cfRule>
  </conditionalFormatting>
  <conditionalFormatting sqref="B18:C18">
    <cfRule type="cellIs" dxfId="33" priority="2" stopIfTrue="1" operator="equal">
      <formula>0</formula>
    </cfRule>
  </conditionalFormatting>
  <conditionalFormatting sqref="B18:P18">
    <cfRule type="cellIs" dxfId="32" priority="1" stopIfTrue="1" operator="equal">
      <formula>0</formula>
    </cfRule>
  </conditionalFormatting>
  <pageMargins left="0.75" right="0.75" top="1" bottom="1" header="0" footer="0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2"/>
  <sheetViews>
    <sheetView workbookViewId="0">
      <selection activeCell="A2" sqref="A2:XFD2"/>
    </sheetView>
  </sheetViews>
  <sheetFormatPr baseColWidth="10" defaultRowHeight="13.5" customHeight="1" x14ac:dyDescent="0.2"/>
  <cols>
    <col min="1" max="1" width="6.140625" customWidth="1"/>
    <col min="2" max="2" width="7" customWidth="1"/>
    <col min="3" max="3" width="9.140625" customWidth="1"/>
    <col min="4" max="4" width="12.42578125" customWidth="1"/>
    <col min="5" max="5" width="11.42578125" bestFit="1" customWidth="1"/>
    <col min="6" max="6" width="9.140625" customWidth="1"/>
    <col min="7" max="8" width="10.140625" bestFit="1" customWidth="1"/>
    <col min="9" max="9" width="10.42578125" customWidth="1"/>
    <col min="10" max="10" width="14" customWidth="1"/>
    <col min="11" max="11" width="10.140625" bestFit="1" customWidth="1"/>
    <col min="12" max="12" width="9" customWidth="1"/>
    <col min="13" max="13" width="13" customWidth="1"/>
    <col min="15" max="15" width="12.42578125" customWidth="1"/>
    <col min="16" max="16" width="14.42578125" customWidth="1"/>
  </cols>
  <sheetData>
    <row r="2" spans="2:17" ht="13.5" customHeight="1" x14ac:dyDescent="0.2">
      <c r="B2" s="105" t="s">
        <v>15</v>
      </c>
      <c r="C2" s="105"/>
      <c r="D2" s="106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8"/>
      <c r="P2" s="109"/>
    </row>
    <row r="3" spans="2:17" ht="13.5" customHeight="1" thickBot="1" x14ac:dyDescent="0.25">
      <c r="B3" s="110" t="s">
        <v>44</v>
      </c>
      <c r="C3" s="110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2"/>
    </row>
    <row r="4" spans="2:17" ht="13.5" customHeight="1" x14ac:dyDescent="0.2">
      <c r="B4" s="131" t="s">
        <v>13</v>
      </c>
      <c r="C4" s="132"/>
      <c r="D4" s="219" t="s">
        <v>1</v>
      </c>
      <c r="E4" s="133" t="s">
        <v>3</v>
      </c>
      <c r="F4" s="133"/>
      <c r="G4" s="133"/>
      <c r="H4" s="133"/>
      <c r="I4" s="221" t="s">
        <v>4</v>
      </c>
      <c r="J4" s="223" t="s">
        <v>32</v>
      </c>
      <c r="K4" s="225" t="s">
        <v>5</v>
      </c>
      <c r="L4" s="227" t="s">
        <v>6</v>
      </c>
      <c r="M4" s="223" t="s">
        <v>16</v>
      </c>
      <c r="N4" s="211" t="s">
        <v>7</v>
      </c>
      <c r="O4" s="213" t="s">
        <v>8</v>
      </c>
      <c r="P4" s="215" t="s">
        <v>20</v>
      </c>
    </row>
    <row r="5" spans="2:17" ht="12.75" customHeight="1" thickBot="1" x14ac:dyDescent="0.25">
      <c r="B5" s="134" t="s">
        <v>14</v>
      </c>
      <c r="C5" s="135" t="s">
        <v>12</v>
      </c>
      <c r="D5" s="220"/>
      <c r="E5" s="136" t="s">
        <v>9</v>
      </c>
      <c r="F5" s="136" t="s">
        <v>10</v>
      </c>
      <c r="G5" s="136" t="s">
        <v>11</v>
      </c>
      <c r="H5" s="136" t="s">
        <v>2</v>
      </c>
      <c r="I5" s="222"/>
      <c r="J5" s="224"/>
      <c r="K5" s="226"/>
      <c r="L5" s="228"/>
      <c r="M5" s="229"/>
      <c r="N5" s="212"/>
      <c r="O5" s="214"/>
      <c r="P5" s="216"/>
    </row>
    <row r="6" spans="2:17" ht="12.75" customHeight="1" x14ac:dyDescent="0.2">
      <c r="B6" s="156">
        <v>2020</v>
      </c>
      <c r="C6" s="157">
        <v>1</v>
      </c>
      <c r="D6" s="158">
        <v>28806.981523119997</v>
      </c>
      <c r="E6" s="158">
        <v>343.33638766999997</v>
      </c>
      <c r="F6" s="158">
        <v>59.622820159999989</v>
      </c>
      <c r="G6" s="158">
        <v>108.59799254000001</v>
      </c>
      <c r="H6" s="158">
        <v>511.55720036999998</v>
      </c>
      <c r="I6" s="159">
        <v>965.88422606000006</v>
      </c>
      <c r="J6" s="160">
        <v>80.164155199999996</v>
      </c>
      <c r="K6" s="160">
        <v>3329.2982212999996</v>
      </c>
      <c r="L6" s="160">
        <v>4.5866756000000013</v>
      </c>
      <c r="M6" s="160">
        <v>0.20078570000000004</v>
      </c>
      <c r="N6" s="161">
        <f>+M6+L6+K6++J6+I6+H6+D6</f>
        <v>33698.672787349999</v>
      </c>
      <c r="O6" s="162">
        <v>1149.9292767200045</v>
      </c>
      <c r="P6" s="163">
        <f>+O6+N6</f>
        <v>34848.602064070001</v>
      </c>
      <c r="Q6" s="43"/>
    </row>
    <row r="7" spans="2:17" ht="12.75" customHeight="1" x14ac:dyDescent="0.2">
      <c r="B7" s="164"/>
      <c r="C7" s="157">
        <v>2</v>
      </c>
      <c r="D7" s="158">
        <v>25918.915537340003</v>
      </c>
      <c r="E7" s="158">
        <v>3844.06158667</v>
      </c>
      <c r="F7" s="158">
        <v>418.51592683000001</v>
      </c>
      <c r="G7" s="158">
        <v>48.375084869999995</v>
      </c>
      <c r="H7" s="158">
        <v>4310.9525983700005</v>
      </c>
      <c r="I7" s="159">
        <v>1760.5898409399999</v>
      </c>
      <c r="J7" s="160">
        <v>26.885929999999998</v>
      </c>
      <c r="K7" s="160">
        <v>2836.8085677000004</v>
      </c>
      <c r="L7" s="160">
        <v>94.521746300000004</v>
      </c>
      <c r="M7" s="160">
        <v>0.24490060000000002</v>
      </c>
      <c r="N7" s="161">
        <f t="shared" ref="N7:N17" si="0">+M7+L7+K7++J7+I7+H7+D7</f>
        <v>34948.919121250001</v>
      </c>
      <c r="O7" s="165">
        <v>983.26196134999543</v>
      </c>
      <c r="P7" s="163">
        <f t="shared" ref="P7:P17" si="1">+O7+N7</f>
        <v>35932.181082599993</v>
      </c>
      <c r="Q7" s="43"/>
    </row>
    <row r="8" spans="2:17" ht="12.75" customHeight="1" x14ac:dyDescent="0.2">
      <c r="B8" s="164"/>
      <c r="C8" s="157">
        <v>3</v>
      </c>
      <c r="D8" s="158">
        <v>24830.794906100004</v>
      </c>
      <c r="E8" s="158">
        <v>5174.6830779399988</v>
      </c>
      <c r="F8" s="158">
        <v>661.01913655999988</v>
      </c>
      <c r="G8" s="158">
        <v>664.9275427</v>
      </c>
      <c r="H8" s="158">
        <v>6500.6297571999985</v>
      </c>
      <c r="I8" s="160">
        <v>7290.7641259800002</v>
      </c>
      <c r="J8" s="160">
        <v>25.760192700000005</v>
      </c>
      <c r="K8" s="160">
        <v>2600.5882430000001</v>
      </c>
      <c r="L8" s="160">
        <v>148.03597960000002</v>
      </c>
      <c r="M8" s="161">
        <v>4.2286800000000006E-2</v>
      </c>
      <c r="N8" s="161">
        <f t="shared" si="0"/>
        <v>41396.615491379998</v>
      </c>
      <c r="O8" s="166">
        <v>942.97789307000153</v>
      </c>
      <c r="P8" s="163">
        <f t="shared" si="1"/>
        <v>42339.593384450003</v>
      </c>
      <c r="Q8" s="43"/>
    </row>
    <row r="9" spans="2:17" ht="12.75" customHeight="1" x14ac:dyDescent="0.2">
      <c r="B9" s="164"/>
      <c r="C9" s="157">
        <v>4</v>
      </c>
      <c r="D9" s="158">
        <v>22536.702782680004</v>
      </c>
      <c r="E9" s="158">
        <v>1319.4094447799998</v>
      </c>
      <c r="F9" s="158">
        <v>126.29341952999999</v>
      </c>
      <c r="G9" s="158">
        <v>2275.46559643</v>
      </c>
      <c r="H9" s="158">
        <v>3721.1684607399998</v>
      </c>
      <c r="I9" s="160">
        <v>957.53739340000016</v>
      </c>
      <c r="J9" s="160">
        <v>5.3238453999999997</v>
      </c>
      <c r="K9" s="160">
        <v>1885.7208828000003</v>
      </c>
      <c r="L9" s="160">
        <v>41.858004800000003</v>
      </c>
      <c r="M9" s="160">
        <v>1.4122500000000003E-2</v>
      </c>
      <c r="N9" s="161">
        <f t="shared" si="0"/>
        <v>29148.325492320004</v>
      </c>
      <c r="O9" s="162">
        <v>477.86880902999889</v>
      </c>
      <c r="P9" s="163">
        <f t="shared" si="1"/>
        <v>29626.194301350002</v>
      </c>
      <c r="Q9" s="43"/>
    </row>
    <row r="10" spans="2:17" ht="12.75" customHeight="1" x14ac:dyDescent="0.2">
      <c r="B10" s="164"/>
      <c r="C10" s="157">
        <v>5</v>
      </c>
      <c r="D10" s="158">
        <v>23607.658218510005</v>
      </c>
      <c r="E10" s="159">
        <v>1493.7663168900003</v>
      </c>
      <c r="F10" s="159">
        <v>195.24179172999999</v>
      </c>
      <c r="G10" s="159">
        <v>520.47356048999995</v>
      </c>
      <c r="H10" s="158">
        <v>2209.4816691100004</v>
      </c>
      <c r="I10" s="159">
        <v>4211.0254049600007</v>
      </c>
      <c r="J10" s="159">
        <v>7.3250611000000001</v>
      </c>
      <c r="K10" s="159">
        <v>1883.2175775999997</v>
      </c>
      <c r="L10" s="159">
        <v>44.241233000000001</v>
      </c>
      <c r="M10" s="160">
        <v>3.9189700000000001E-2</v>
      </c>
      <c r="N10" s="161">
        <f t="shared" si="0"/>
        <v>31962.988353980007</v>
      </c>
      <c r="O10" s="162">
        <v>501.64817127999737</v>
      </c>
      <c r="P10" s="163">
        <f t="shared" si="1"/>
        <v>32464.636525260004</v>
      </c>
      <c r="Q10" s="43"/>
    </row>
    <row r="11" spans="2:17" ht="12.75" customHeight="1" x14ac:dyDescent="0.2">
      <c r="B11" s="164"/>
      <c r="C11" s="157">
        <v>6</v>
      </c>
      <c r="D11" s="158">
        <v>25474.006626949995</v>
      </c>
      <c r="E11" s="158">
        <v>2859.7922030199998</v>
      </c>
      <c r="F11" s="158">
        <v>308.11540720999989</v>
      </c>
      <c r="G11" s="158">
        <v>3187.9798800600001</v>
      </c>
      <c r="H11" s="158">
        <f t="shared" ref="H11:H17" si="2">+G11+F11+E11</f>
        <v>6355.8874902899997</v>
      </c>
      <c r="I11" s="160">
        <v>1635.5331289800001</v>
      </c>
      <c r="J11" s="160">
        <v>25.197183200000005</v>
      </c>
      <c r="K11" s="160">
        <v>2352.2777810000002</v>
      </c>
      <c r="L11" s="160">
        <v>85.329843499999996</v>
      </c>
      <c r="M11" s="160">
        <v>4.4426E-2</v>
      </c>
      <c r="N11" s="161">
        <f t="shared" si="0"/>
        <v>35928.276479919994</v>
      </c>
      <c r="O11" s="167">
        <v>670.90488115999847</v>
      </c>
      <c r="P11" s="163">
        <f t="shared" si="1"/>
        <v>36599.181361079995</v>
      </c>
      <c r="Q11" s="43"/>
    </row>
    <row r="12" spans="2:17" ht="12.75" customHeight="1" x14ac:dyDescent="0.2">
      <c r="B12" s="164"/>
      <c r="C12" s="157">
        <v>7</v>
      </c>
      <c r="D12" s="158">
        <v>28422.812683470005</v>
      </c>
      <c r="E12" s="158">
        <v>609.26420237000002</v>
      </c>
      <c r="F12" s="158">
        <v>102.02044238000003</v>
      </c>
      <c r="G12" s="158">
        <v>205.05570871999996</v>
      </c>
      <c r="H12" s="158">
        <f t="shared" si="2"/>
        <v>916.34035347000008</v>
      </c>
      <c r="I12" s="160">
        <v>4727.3419812700013</v>
      </c>
      <c r="J12" s="160">
        <v>28.470065000000002</v>
      </c>
      <c r="K12" s="160">
        <v>2695.0186603000002</v>
      </c>
      <c r="L12" s="160">
        <v>14.971729199999999</v>
      </c>
      <c r="M12" s="160">
        <v>3.5678600000000012E-2</v>
      </c>
      <c r="N12" s="161">
        <f t="shared" si="0"/>
        <v>36804.991151310009</v>
      </c>
      <c r="O12" s="167">
        <v>550.42595269000026</v>
      </c>
      <c r="P12" s="163">
        <f t="shared" si="1"/>
        <v>37355.417104000007</v>
      </c>
      <c r="Q12" s="43"/>
    </row>
    <row r="13" spans="2:17" ht="12.75" customHeight="1" x14ac:dyDescent="0.2">
      <c r="B13" s="164"/>
      <c r="C13" s="157">
        <v>8</v>
      </c>
      <c r="D13" s="158">
        <v>30114.947125050003</v>
      </c>
      <c r="E13" s="158">
        <v>2584.7786370399995</v>
      </c>
      <c r="F13" s="158">
        <v>328.97886083000003</v>
      </c>
      <c r="G13" s="158">
        <v>217.44898925000001</v>
      </c>
      <c r="H13" s="158">
        <f t="shared" si="2"/>
        <v>3131.2064871199996</v>
      </c>
      <c r="I13" s="160">
        <v>1438.7232148600001</v>
      </c>
      <c r="J13" s="160">
        <v>49.565240200000005</v>
      </c>
      <c r="K13" s="160">
        <v>3380.0874683000006</v>
      </c>
      <c r="L13" s="160">
        <v>105.04292409999999</v>
      </c>
      <c r="M13" s="160">
        <v>3.4951399999999994E-2</v>
      </c>
      <c r="N13" s="161">
        <f t="shared" si="0"/>
        <v>38219.607411030003</v>
      </c>
      <c r="O13" s="167">
        <v>607.32480169000291</v>
      </c>
      <c r="P13" s="163">
        <f t="shared" si="1"/>
        <v>38826.932212720007</v>
      </c>
      <c r="Q13" s="43"/>
    </row>
    <row r="14" spans="2:17" ht="12.75" customHeight="1" x14ac:dyDescent="0.2">
      <c r="B14" s="164"/>
      <c r="C14" s="157">
        <v>9</v>
      </c>
      <c r="D14" s="158">
        <v>29651.682629929997</v>
      </c>
      <c r="E14" s="158">
        <v>1107.7237084200001</v>
      </c>
      <c r="F14" s="158">
        <v>163.47800505000001</v>
      </c>
      <c r="G14" s="158">
        <v>3205.9551774499996</v>
      </c>
      <c r="H14" s="158">
        <f t="shared" si="2"/>
        <v>4477.1568909199996</v>
      </c>
      <c r="I14" s="160">
        <v>5160.7624850199982</v>
      </c>
      <c r="J14" s="160">
        <v>67.632559099999995</v>
      </c>
      <c r="K14" s="161">
        <v>3556.6304787999998</v>
      </c>
      <c r="L14" s="160">
        <v>38.934403000000003</v>
      </c>
      <c r="M14" s="165">
        <v>9.0763500000000011E-2</v>
      </c>
      <c r="N14" s="161">
        <f t="shared" si="0"/>
        <v>42952.890210269994</v>
      </c>
      <c r="O14" s="167">
        <v>645.99535383999853</v>
      </c>
      <c r="P14" s="163">
        <f t="shared" si="1"/>
        <v>43598.885564109994</v>
      </c>
      <c r="Q14" s="43"/>
    </row>
    <row r="15" spans="2:17" ht="12.75" customHeight="1" x14ac:dyDescent="0.2">
      <c r="B15" s="164"/>
      <c r="C15" s="157">
        <v>10</v>
      </c>
      <c r="D15" s="158">
        <v>31136.659306730002</v>
      </c>
      <c r="E15" s="158">
        <v>2772.0162172999999</v>
      </c>
      <c r="F15" s="158">
        <v>169.30785122</v>
      </c>
      <c r="G15" s="158">
        <v>309.89897930000001</v>
      </c>
      <c r="H15" s="158">
        <f t="shared" si="2"/>
        <v>3251.2230478199999</v>
      </c>
      <c r="I15" s="160">
        <v>1998.3780018500001</v>
      </c>
      <c r="J15" s="160">
        <v>83.149110499999992</v>
      </c>
      <c r="K15" s="160">
        <v>3814.6193354000002</v>
      </c>
      <c r="L15" s="160">
        <v>106.89381280000002</v>
      </c>
      <c r="M15" s="160">
        <v>4.31099E-2</v>
      </c>
      <c r="N15" s="161">
        <f t="shared" si="0"/>
        <v>40390.965725000002</v>
      </c>
      <c r="O15" s="162">
        <v>807.30545614000062</v>
      </c>
      <c r="P15" s="163">
        <f t="shared" si="1"/>
        <v>41198.27118114</v>
      </c>
      <c r="Q15" s="43"/>
    </row>
    <row r="16" spans="2:17" ht="12.75" customHeight="1" x14ac:dyDescent="0.2">
      <c r="B16" s="164"/>
      <c r="C16" s="157">
        <v>11</v>
      </c>
      <c r="D16" s="158">
        <v>32220.772160480003</v>
      </c>
      <c r="E16" s="158">
        <v>1347.2901823999998</v>
      </c>
      <c r="F16" s="158">
        <v>210.42664790000006</v>
      </c>
      <c r="G16" s="158">
        <v>3159.6853145200007</v>
      </c>
      <c r="H16" s="158">
        <f t="shared" si="2"/>
        <v>4717.402144820001</v>
      </c>
      <c r="I16" s="160">
        <v>5193.6187778000003</v>
      </c>
      <c r="J16" s="160">
        <v>267.48004459999999</v>
      </c>
      <c r="K16" s="160">
        <v>4503.6555942000005</v>
      </c>
      <c r="L16" s="160">
        <v>44.911195599999992</v>
      </c>
      <c r="M16" s="160">
        <v>7.0170900000000008E-2</v>
      </c>
      <c r="N16" s="161">
        <f t="shared" si="0"/>
        <v>46947.910088400007</v>
      </c>
      <c r="O16" s="168">
        <v>1157.5825281999989</v>
      </c>
      <c r="P16" s="163">
        <f t="shared" si="1"/>
        <v>48105.492616600008</v>
      </c>
      <c r="Q16" s="43"/>
    </row>
    <row r="17" spans="1:17" thickBot="1" x14ac:dyDescent="0.25">
      <c r="B17" s="164"/>
      <c r="C17" s="157">
        <v>12</v>
      </c>
      <c r="D17" s="158">
        <v>36363.884628770007</v>
      </c>
      <c r="E17" s="158">
        <v>1132.14083648</v>
      </c>
      <c r="F17" s="158">
        <v>181.04950040000003</v>
      </c>
      <c r="G17" s="158">
        <v>227.27228037999998</v>
      </c>
      <c r="H17" s="158">
        <f t="shared" si="2"/>
        <v>1540.4626172600001</v>
      </c>
      <c r="I17" s="160">
        <v>2312.3614897900002</v>
      </c>
      <c r="J17" s="160">
        <v>226.25673410000002</v>
      </c>
      <c r="K17" s="160">
        <v>4204.6382554000011</v>
      </c>
      <c r="L17" s="160">
        <v>34.015189499999991</v>
      </c>
      <c r="M17" s="160">
        <v>5.063680000000001E-2</v>
      </c>
      <c r="N17" s="161">
        <f t="shared" si="0"/>
        <v>44681.669551620012</v>
      </c>
      <c r="O17" s="162">
        <v>1439.7742348300033</v>
      </c>
      <c r="P17" s="163">
        <f t="shared" si="1"/>
        <v>46121.443786450014</v>
      </c>
      <c r="Q17" s="43"/>
    </row>
    <row r="18" spans="1:17" s="101" customFormat="1" thickBot="1" x14ac:dyDescent="0.25">
      <c r="A18" s="119"/>
      <c r="B18" s="217" t="s">
        <v>2</v>
      </c>
      <c r="C18" s="218"/>
      <c r="D18" s="152">
        <f t="shared" ref="D18:P18" si="3">SUM(D6:D17)</f>
        <v>339085.81812913</v>
      </c>
      <c r="E18" s="152">
        <f t="shared" si="3"/>
        <v>24588.262800979996</v>
      </c>
      <c r="F18" s="152">
        <f t="shared" si="3"/>
        <v>2924.0698097999998</v>
      </c>
      <c r="G18" s="152">
        <f t="shared" si="3"/>
        <v>14131.136106709999</v>
      </c>
      <c r="H18" s="152">
        <f t="shared" si="3"/>
        <v>41643.468717490003</v>
      </c>
      <c r="I18" s="152">
        <f t="shared" si="3"/>
        <v>37652.520070909995</v>
      </c>
      <c r="J18" s="152">
        <f t="shared" si="3"/>
        <v>893.21012110000004</v>
      </c>
      <c r="K18" s="152">
        <f t="shared" si="3"/>
        <v>37042.561065800001</v>
      </c>
      <c r="L18" s="152">
        <f t="shared" si="3"/>
        <v>763.34273699999994</v>
      </c>
      <c r="M18" s="152">
        <f t="shared" si="3"/>
        <v>0.91102240000000012</v>
      </c>
      <c r="N18" s="152">
        <f t="shared" si="3"/>
        <v>457081.8318638301</v>
      </c>
      <c r="O18" s="152">
        <f t="shared" si="3"/>
        <v>9934.9993200000008</v>
      </c>
      <c r="P18" s="152">
        <f t="shared" si="3"/>
        <v>467016.83118383004</v>
      </c>
    </row>
    <row r="19" spans="1:17" s="169" customFormat="1" ht="12.75" customHeight="1" x14ac:dyDescent="0.2">
      <c r="B19" s="170" t="s">
        <v>43</v>
      </c>
      <c r="C19" s="171"/>
      <c r="D19" s="172"/>
      <c r="E19" s="173"/>
      <c r="F19" s="57"/>
      <c r="P19" s="174"/>
    </row>
    <row r="20" spans="1:17" s="154" customFormat="1" ht="12.75" customHeight="1" x14ac:dyDescent="0.2">
      <c r="C20" s="21"/>
      <c r="D20" s="31"/>
      <c r="E20" s="175"/>
      <c r="F20" s="155"/>
    </row>
    <row r="21" spans="1:17" ht="12.75" customHeight="1" x14ac:dyDescent="0.2">
      <c r="C21" t="s">
        <v>0</v>
      </c>
      <c r="D21" s="43"/>
      <c r="E21" s="43"/>
      <c r="F21" s="43"/>
      <c r="G21" s="43"/>
      <c r="H21" s="43"/>
      <c r="I21" s="43"/>
      <c r="J21" s="43"/>
      <c r="K21" s="43"/>
      <c r="L21" s="43"/>
      <c r="M21" s="43"/>
      <c r="O21" s="43"/>
      <c r="P21" s="43"/>
    </row>
    <row r="22" spans="1:17" ht="12.75" customHeight="1" x14ac:dyDescent="0.2"/>
  </sheetData>
  <mergeCells count="10">
    <mergeCell ref="N4:N5"/>
    <mergeCell ref="O4:O5"/>
    <mergeCell ref="P4:P5"/>
    <mergeCell ref="B18:C18"/>
    <mergeCell ref="D4:D5"/>
    <mergeCell ref="I4:I5"/>
    <mergeCell ref="J4:J5"/>
    <mergeCell ref="K4:K5"/>
    <mergeCell ref="L4:L5"/>
    <mergeCell ref="M4:M5"/>
  </mergeCells>
  <conditionalFormatting sqref="E19 D11:D18 E18:P18 K8:O10 K6:P7 J9:J10 I6:J8 I9:I13 P8:P13 J11:O13 I14:P17 E11:H17 D6:H10 B18">
    <cfRule type="cellIs" dxfId="31" priority="3" stopIfTrue="1" operator="equal">
      <formula>0</formula>
    </cfRule>
  </conditionalFormatting>
  <conditionalFormatting sqref="B18:C18">
    <cfRule type="cellIs" dxfId="30" priority="2" stopIfTrue="1" operator="equal">
      <formula>0</formula>
    </cfRule>
  </conditionalFormatting>
  <conditionalFormatting sqref="B18:P18">
    <cfRule type="cellIs" dxfId="29" priority="1" stopIfTrue="1" operator="equal">
      <formula>0</formula>
    </cfRule>
  </conditionalFormatting>
  <pageMargins left="0.75" right="0.75" top="1" bottom="1" header="0" footer="0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zoomScaleNormal="100" workbookViewId="0">
      <selection activeCell="J30" sqref="J30"/>
    </sheetView>
  </sheetViews>
  <sheetFormatPr baseColWidth="10" defaultRowHeight="13.5" customHeight="1" x14ac:dyDescent="0.2"/>
  <cols>
    <col min="1" max="1" width="6.140625" style="101" customWidth="1"/>
    <col min="2" max="2" width="7" style="101" customWidth="1"/>
    <col min="3" max="3" width="9.140625" style="101" customWidth="1"/>
    <col min="4" max="4" width="12.42578125" style="101" customWidth="1"/>
    <col min="5" max="5" width="11.42578125" style="101" bestFit="1" customWidth="1"/>
    <col min="6" max="6" width="9.140625" style="101" customWidth="1"/>
    <col min="7" max="8" width="10.140625" style="101" bestFit="1" customWidth="1"/>
    <col min="9" max="9" width="10.42578125" style="101" customWidth="1"/>
    <col min="10" max="10" width="14" style="101" customWidth="1"/>
    <col min="11" max="11" width="10.140625" style="101" bestFit="1" customWidth="1"/>
    <col min="12" max="12" width="9" style="101" customWidth="1"/>
    <col min="13" max="13" width="13" style="101" customWidth="1"/>
    <col min="14" max="14" width="11.42578125" style="101"/>
    <col min="15" max="15" width="12.42578125" style="101" customWidth="1"/>
    <col min="16" max="16" width="14.42578125" style="101" customWidth="1"/>
    <col min="17" max="16384" width="11.42578125" style="101"/>
  </cols>
  <sheetData>
    <row r="1" spans="1:17" ht="12.75" customHeight="1" x14ac:dyDescent="0.2"/>
    <row r="2" spans="1:17" ht="12.75" customHeight="1" x14ac:dyDescent="0.2">
      <c r="B2" s="102"/>
      <c r="C2" s="102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4"/>
      <c r="P2" s="104"/>
    </row>
    <row r="3" spans="1:17" ht="12.75" customHeight="1" x14ac:dyDescent="0.2">
      <c r="A3" s="101" t="s">
        <v>0</v>
      </c>
      <c r="B3" s="105" t="s">
        <v>15</v>
      </c>
      <c r="C3" s="105"/>
      <c r="D3" s="106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8"/>
      <c r="P3" s="109"/>
    </row>
    <row r="4" spans="1:17" ht="12.75" customHeight="1" thickBot="1" x14ac:dyDescent="0.25">
      <c r="B4" s="110" t="s">
        <v>42</v>
      </c>
      <c r="C4" s="110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2"/>
    </row>
    <row r="5" spans="1:17" ht="12.75" customHeight="1" x14ac:dyDescent="0.2">
      <c r="B5" s="131" t="s">
        <v>13</v>
      </c>
      <c r="C5" s="132"/>
      <c r="D5" s="219" t="s">
        <v>1</v>
      </c>
      <c r="E5" s="133" t="s">
        <v>3</v>
      </c>
      <c r="F5" s="133"/>
      <c r="G5" s="133"/>
      <c r="H5" s="133"/>
      <c r="I5" s="221" t="s">
        <v>4</v>
      </c>
      <c r="J5" s="223" t="s">
        <v>32</v>
      </c>
      <c r="K5" s="225" t="s">
        <v>5</v>
      </c>
      <c r="L5" s="227" t="s">
        <v>6</v>
      </c>
      <c r="M5" s="223" t="s">
        <v>16</v>
      </c>
      <c r="N5" s="211" t="s">
        <v>7</v>
      </c>
      <c r="O5" s="213" t="s">
        <v>8</v>
      </c>
      <c r="P5" s="215" t="s">
        <v>20</v>
      </c>
    </row>
    <row r="6" spans="1:17" ht="43.5" customHeight="1" thickBot="1" x14ac:dyDescent="0.25">
      <c r="B6" s="134" t="s">
        <v>14</v>
      </c>
      <c r="C6" s="135" t="s">
        <v>12</v>
      </c>
      <c r="D6" s="220"/>
      <c r="E6" s="136" t="s">
        <v>9</v>
      </c>
      <c r="F6" s="136" t="s">
        <v>10</v>
      </c>
      <c r="G6" s="136" t="s">
        <v>11</v>
      </c>
      <c r="H6" s="136" t="s">
        <v>2</v>
      </c>
      <c r="I6" s="222"/>
      <c r="J6" s="224"/>
      <c r="K6" s="226"/>
      <c r="L6" s="228"/>
      <c r="M6" s="229"/>
      <c r="N6" s="212"/>
      <c r="O6" s="214"/>
      <c r="P6" s="216"/>
    </row>
    <row r="7" spans="1:17" ht="12.75" customHeight="1" x14ac:dyDescent="0.2">
      <c r="B7" s="113">
        <v>2019</v>
      </c>
      <c r="C7" s="114">
        <v>1</v>
      </c>
      <c r="D7" s="115">
        <v>19469165.98694</v>
      </c>
      <c r="E7" s="115">
        <v>999910.20736</v>
      </c>
      <c r="F7" s="115">
        <v>118060.56174</v>
      </c>
      <c r="G7" s="115">
        <v>108576.36557000001</v>
      </c>
      <c r="H7" s="115">
        <f>+G7+F7+E7</f>
        <v>1226547.1346700001</v>
      </c>
      <c r="I7" s="116">
        <v>5618872.247969998</v>
      </c>
      <c r="J7" s="8">
        <v>52201.304299999996</v>
      </c>
      <c r="K7" s="8">
        <v>2279581.2574999998</v>
      </c>
      <c r="L7" s="8">
        <v>28113.810499999996</v>
      </c>
      <c r="M7" s="8">
        <v>7921.6256000000003</v>
      </c>
      <c r="N7" s="117">
        <f>+M7+L7+K7++J7+I7+H7+D7</f>
        <v>28682403.367479999</v>
      </c>
      <c r="O7" s="17">
        <v>998454.41856000328</v>
      </c>
      <c r="P7" s="118">
        <f>+O7+N7</f>
        <v>29680857.786040001</v>
      </c>
      <c r="Q7" s="119"/>
    </row>
    <row r="8" spans="1:17" ht="12.75" customHeight="1" x14ac:dyDescent="0.2">
      <c r="B8" s="120"/>
      <c r="C8" s="114">
        <v>2</v>
      </c>
      <c r="D8" s="115">
        <v>18898825.828769997</v>
      </c>
      <c r="E8" s="115">
        <v>4035248.4091400011</v>
      </c>
      <c r="F8" s="115">
        <v>515413.39302000008</v>
      </c>
      <c r="G8" s="115">
        <v>154187.82777999999</v>
      </c>
      <c r="H8" s="115">
        <f t="shared" ref="H8:H18" si="0">+G8+F8+E8</f>
        <v>4704849.6299400013</v>
      </c>
      <c r="I8" s="116">
        <v>1629394.3468300004</v>
      </c>
      <c r="J8" s="8">
        <v>25113.775699999998</v>
      </c>
      <c r="K8" s="8">
        <v>2187025.1383000002</v>
      </c>
      <c r="L8" s="8">
        <v>126323.15649999998</v>
      </c>
      <c r="M8" s="8">
        <v>10585.502499999999</v>
      </c>
      <c r="N8" s="117">
        <f t="shared" ref="N8:N18" si="1">+M8+L8+K8++J8+I8+H8+D8</f>
        <v>27582117.378539998</v>
      </c>
      <c r="O8" s="121">
        <v>955739.50523000117</v>
      </c>
      <c r="P8" s="118">
        <f t="shared" ref="P8:P18" si="2">+O8+N8</f>
        <v>28537856.88377</v>
      </c>
      <c r="Q8" s="119"/>
    </row>
    <row r="9" spans="1:17" ht="12.75" customHeight="1" x14ac:dyDescent="0.2">
      <c r="B9" s="120"/>
      <c r="C9" s="114">
        <v>3</v>
      </c>
      <c r="D9" s="115">
        <v>17247553.99385</v>
      </c>
      <c r="E9" s="115">
        <v>1303027.0722700001</v>
      </c>
      <c r="F9" s="115">
        <v>149379.45566000004</v>
      </c>
      <c r="G9" s="115">
        <v>2059116.4967200002</v>
      </c>
      <c r="H9" s="115">
        <f t="shared" si="0"/>
        <v>3511523.02465</v>
      </c>
      <c r="I9" s="8">
        <v>3516883.6786400001</v>
      </c>
      <c r="J9" s="8">
        <v>31135.310099999995</v>
      </c>
      <c r="K9" s="8">
        <v>2118915.1215999997</v>
      </c>
      <c r="L9" s="8">
        <v>33782.652099999999</v>
      </c>
      <c r="M9" s="117">
        <v>8543.3401000000013</v>
      </c>
      <c r="N9" s="117">
        <f t="shared" si="1"/>
        <v>26468337.121040002</v>
      </c>
      <c r="O9" s="122">
        <v>1033385.6187099996</v>
      </c>
      <c r="P9" s="118">
        <f t="shared" si="2"/>
        <v>27501722.739750002</v>
      </c>
      <c r="Q9" s="119"/>
    </row>
    <row r="10" spans="1:17" ht="12.75" customHeight="1" x14ac:dyDescent="0.2">
      <c r="B10" s="120"/>
      <c r="C10" s="114">
        <v>4</v>
      </c>
      <c r="D10" s="115">
        <v>19007616.052540001</v>
      </c>
      <c r="E10" s="115">
        <v>1860306.18832</v>
      </c>
      <c r="F10" s="115">
        <v>255199.50319000002</v>
      </c>
      <c r="G10" s="115">
        <v>313110.74194000009</v>
      </c>
      <c r="H10" s="115">
        <f t="shared" si="0"/>
        <v>2428616.4334500004</v>
      </c>
      <c r="I10" s="8">
        <v>1682776.11466</v>
      </c>
      <c r="J10" s="8">
        <v>35030.206299999998</v>
      </c>
      <c r="K10" s="8">
        <v>2210719.2317000004</v>
      </c>
      <c r="L10" s="8">
        <v>53018.412000000011</v>
      </c>
      <c r="M10" s="8">
        <v>10374.836999999998</v>
      </c>
      <c r="N10" s="117">
        <f t="shared" si="1"/>
        <v>25428151.28765</v>
      </c>
      <c r="O10" s="17">
        <v>1153570.1266900012</v>
      </c>
      <c r="P10" s="118">
        <f t="shared" si="2"/>
        <v>26581721.414340001</v>
      </c>
      <c r="Q10" s="119"/>
    </row>
    <row r="11" spans="1:17" ht="12.75" customHeight="1" x14ac:dyDescent="0.2">
      <c r="B11" s="120"/>
      <c r="C11" s="114">
        <v>5</v>
      </c>
      <c r="D11" s="115">
        <v>19997072.964499999</v>
      </c>
      <c r="E11" s="116">
        <v>882411.07571</v>
      </c>
      <c r="F11" s="116">
        <v>132996.75968999998</v>
      </c>
      <c r="G11" s="116">
        <v>237272.21937999997</v>
      </c>
      <c r="H11" s="115">
        <f t="shared" si="0"/>
        <v>1252680.0547799999</v>
      </c>
      <c r="I11" s="116">
        <v>3710286.6235699994</v>
      </c>
      <c r="J11" s="116">
        <v>55256.918899999997</v>
      </c>
      <c r="K11" s="116">
        <v>2300899.3786000004</v>
      </c>
      <c r="L11" s="116">
        <v>20792.413199999999</v>
      </c>
      <c r="M11" s="8">
        <v>10928.668399999999</v>
      </c>
      <c r="N11" s="117">
        <f t="shared" si="1"/>
        <v>27347917.021949999</v>
      </c>
      <c r="O11" s="17">
        <v>1193119.2932100017</v>
      </c>
      <c r="P11" s="118">
        <f t="shared" si="2"/>
        <v>28541036.315159999</v>
      </c>
      <c r="Q11" s="119"/>
    </row>
    <row r="12" spans="1:17" ht="12.75" customHeight="1" x14ac:dyDescent="0.2">
      <c r="B12" s="120"/>
      <c r="C12" s="114">
        <v>6</v>
      </c>
      <c r="D12" s="115">
        <v>20764925.099169996</v>
      </c>
      <c r="E12" s="115">
        <v>1971551.4837299995</v>
      </c>
      <c r="F12" s="115">
        <v>249392.94014000008</v>
      </c>
      <c r="G12" s="115">
        <v>2067948.1073600003</v>
      </c>
      <c r="H12" s="115">
        <f t="shared" si="0"/>
        <v>4288892.5312299998</v>
      </c>
      <c r="I12" s="8">
        <v>1273631.2954500003</v>
      </c>
      <c r="J12" s="8">
        <v>32581.098500000004</v>
      </c>
      <c r="K12" s="8">
        <v>2637103.7550999997</v>
      </c>
      <c r="L12" s="8">
        <v>56623.323499999991</v>
      </c>
      <c r="M12" s="8">
        <v>7804.8265000000001</v>
      </c>
      <c r="N12" s="117">
        <f t="shared" si="1"/>
        <v>29061561.929449994</v>
      </c>
      <c r="O12" s="123">
        <v>1117941.9156199992</v>
      </c>
      <c r="P12" s="118">
        <f t="shared" si="2"/>
        <v>30179503.845069993</v>
      </c>
      <c r="Q12" s="119"/>
    </row>
    <row r="13" spans="1:17" ht="12.75" customHeight="1" x14ac:dyDescent="0.2">
      <c r="B13" s="120"/>
      <c r="C13" s="114">
        <v>7</v>
      </c>
      <c r="D13" s="115">
        <v>21109039.679810002</v>
      </c>
      <c r="E13" s="115">
        <v>810881.93021000002</v>
      </c>
      <c r="F13" s="115">
        <v>112117.74814</v>
      </c>
      <c r="G13" s="115">
        <v>244253.89101000005</v>
      </c>
      <c r="H13" s="115">
        <f t="shared" si="0"/>
        <v>1167253.5693600001</v>
      </c>
      <c r="I13" s="8">
        <v>3982925.5124499993</v>
      </c>
      <c r="J13" s="8">
        <v>53966.819199999991</v>
      </c>
      <c r="K13" s="8">
        <v>2378040.1527</v>
      </c>
      <c r="L13" s="8">
        <v>18010.385100000003</v>
      </c>
      <c r="M13" s="8">
        <v>178.6533</v>
      </c>
      <c r="N13" s="117">
        <f t="shared" si="1"/>
        <v>28709414.771920003</v>
      </c>
      <c r="O13" s="123">
        <v>1204227.0273200001</v>
      </c>
      <c r="P13" s="118">
        <f t="shared" si="2"/>
        <v>29913641.799240004</v>
      </c>
      <c r="Q13" s="119"/>
    </row>
    <row r="14" spans="1:17" ht="12.75" customHeight="1" x14ac:dyDescent="0.2">
      <c r="B14" s="120"/>
      <c r="C14" s="114">
        <v>8</v>
      </c>
      <c r="D14" s="115">
        <v>23213451.782140002</v>
      </c>
      <c r="E14" s="115">
        <v>1862491.63791</v>
      </c>
      <c r="F14" s="115">
        <v>235269.67288</v>
      </c>
      <c r="G14" s="115">
        <v>237144.55471000003</v>
      </c>
      <c r="H14" s="115">
        <f t="shared" si="0"/>
        <v>2334905.8655000003</v>
      </c>
      <c r="I14" s="8">
        <v>1557964.5844399999</v>
      </c>
      <c r="J14" s="8">
        <v>41779.573699999994</v>
      </c>
      <c r="K14" s="8">
        <v>2516244.9462000001</v>
      </c>
      <c r="L14" s="8">
        <v>52262.203999999998</v>
      </c>
      <c r="M14" s="8">
        <v>212.31919999999997</v>
      </c>
      <c r="N14" s="117">
        <f t="shared" si="1"/>
        <v>29716821.275180005</v>
      </c>
      <c r="O14" s="123">
        <v>1063081.7308599995</v>
      </c>
      <c r="P14" s="118">
        <f t="shared" si="2"/>
        <v>30779903.006040003</v>
      </c>
      <c r="Q14" s="119"/>
    </row>
    <row r="15" spans="1:17" ht="12.75" customHeight="1" x14ac:dyDescent="0.2">
      <c r="B15" s="120"/>
      <c r="C15" s="114">
        <v>9</v>
      </c>
      <c r="D15" s="115">
        <v>24704742.41274</v>
      </c>
      <c r="E15" s="115">
        <v>904120.31047999987</v>
      </c>
      <c r="F15" s="115">
        <v>89440.232749999996</v>
      </c>
      <c r="G15" s="115">
        <v>2040214.0636199997</v>
      </c>
      <c r="H15" s="115">
        <f t="shared" si="0"/>
        <v>3033774.6068499996</v>
      </c>
      <c r="I15" s="8">
        <v>3630665.9852899997</v>
      </c>
      <c r="J15" s="8">
        <v>58239.102299999999</v>
      </c>
      <c r="K15" s="117">
        <v>2779198.7341</v>
      </c>
      <c r="L15" s="8">
        <v>20610.197100000005</v>
      </c>
      <c r="M15" s="121">
        <v>209.37599999999998</v>
      </c>
      <c r="N15" s="117">
        <f t="shared" si="1"/>
        <v>34227440.414379999</v>
      </c>
      <c r="O15" s="123">
        <v>1058582.8383900002</v>
      </c>
      <c r="P15" s="118">
        <f t="shared" si="2"/>
        <v>35286023.252769999</v>
      </c>
      <c r="Q15" s="119"/>
    </row>
    <row r="16" spans="1:17" ht="12.75" customHeight="1" x14ac:dyDescent="0.2">
      <c r="B16" s="120"/>
      <c r="C16" s="114">
        <v>10</v>
      </c>
      <c r="D16" s="115">
        <v>25008428.081840001</v>
      </c>
      <c r="E16" s="115">
        <v>1834439.9298400001</v>
      </c>
      <c r="F16" s="115">
        <v>61689.078550000013</v>
      </c>
      <c r="G16" s="115">
        <v>277533.50426000007</v>
      </c>
      <c r="H16" s="115">
        <f t="shared" si="0"/>
        <v>2173662.5126500004</v>
      </c>
      <c r="I16" s="8">
        <v>1155550.8004299996</v>
      </c>
      <c r="J16" s="8">
        <v>82485.698599999989</v>
      </c>
      <c r="K16" s="8">
        <v>2878754.5488</v>
      </c>
      <c r="L16" s="8">
        <v>50943.118100000007</v>
      </c>
      <c r="M16" s="8">
        <v>123.95829999999999</v>
      </c>
      <c r="N16" s="117">
        <f t="shared" si="1"/>
        <v>31349948.71872</v>
      </c>
      <c r="O16" s="17">
        <v>1104988.4643999962</v>
      </c>
      <c r="P16" s="118">
        <f t="shared" si="2"/>
        <v>32454937.183119997</v>
      </c>
      <c r="Q16" s="119"/>
    </row>
    <row r="17" spans="1:17" ht="12.75" customHeight="1" x14ac:dyDescent="0.2">
      <c r="B17" s="120"/>
      <c r="C17" s="114">
        <v>11</v>
      </c>
      <c r="D17" s="115">
        <v>27422261.342980001</v>
      </c>
      <c r="E17" s="115">
        <v>760912.78448999999</v>
      </c>
      <c r="F17" s="115">
        <v>54196.384219999993</v>
      </c>
      <c r="G17" s="115">
        <v>2110383.5015000002</v>
      </c>
      <c r="H17" s="115">
        <f t="shared" si="0"/>
        <v>2925492.6702100001</v>
      </c>
      <c r="I17" s="8">
        <v>885579.50186999992</v>
      </c>
      <c r="J17" s="8">
        <v>93687.335099999997</v>
      </c>
      <c r="K17" s="8">
        <v>3007603.2268999997</v>
      </c>
      <c r="L17" s="8">
        <v>16447.681100000002</v>
      </c>
      <c r="M17" s="8">
        <v>309.66299999999995</v>
      </c>
      <c r="N17" s="117">
        <f t="shared" si="1"/>
        <v>34351381.421159998</v>
      </c>
      <c r="O17" s="124">
        <v>1098943.0796799995</v>
      </c>
      <c r="P17" s="118">
        <f t="shared" si="2"/>
        <v>35450324.500839993</v>
      </c>
      <c r="Q17" s="119"/>
    </row>
    <row r="18" spans="1:17" ht="12.75" customHeight="1" thickBot="1" x14ac:dyDescent="0.25">
      <c r="B18" s="120"/>
      <c r="C18" s="114">
        <v>12</v>
      </c>
      <c r="D18" s="115">
        <v>25760820.448549993</v>
      </c>
      <c r="E18" s="115">
        <v>318652.47935000004</v>
      </c>
      <c r="F18" s="115">
        <v>51570.888370000001</v>
      </c>
      <c r="G18" s="115">
        <v>197389.15220999997</v>
      </c>
      <c r="H18" s="115">
        <f t="shared" si="0"/>
        <v>567612.51992999995</v>
      </c>
      <c r="I18" s="8">
        <v>659682.24118999997</v>
      </c>
      <c r="J18" s="8">
        <v>174586.95200000002</v>
      </c>
      <c r="K18" s="8">
        <v>2843025.9483999996</v>
      </c>
      <c r="L18" s="8">
        <v>5020.2327999999998</v>
      </c>
      <c r="M18" s="8">
        <v>200.34559999999999</v>
      </c>
      <c r="N18" s="117">
        <f t="shared" si="1"/>
        <v>30010948.688469991</v>
      </c>
      <c r="O18" s="17">
        <v>1086913.3611399992</v>
      </c>
      <c r="P18" s="118">
        <f t="shared" si="2"/>
        <v>31097862.049609989</v>
      </c>
      <c r="Q18" s="119"/>
    </row>
    <row r="19" spans="1:17" thickBot="1" x14ac:dyDescent="0.25">
      <c r="A19" s="119"/>
      <c r="B19" s="217" t="s">
        <v>18</v>
      </c>
      <c r="C19" s="218"/>
      <c r="D19" s="152">
        <f t="shared" ref="D19:P19" si="3">SUM(D7:D18)</f>
        <v>262603903.67382997</v>
      </c>
      <c r="E19" s="152">
        <f t="shared" si="3"/>
        <v>17543953.508810002</v>
      </c>
      <c r="F19" s="152">
        <f t="shared" si="3"/>
        <v>2024726.6183500001</v>
      </c>
      <c r="G19" s="152">
        <f t="shared" si="3"/>
        <v>10047130.426060002</v>
      </c>
      <c r="H19" s="152">
        <f t="shared" si="3"/>
        <v>29615810.55322</v>
      </c>
      <c r="I19" s="152">
        <f t="shared" si="3"/>
        <v>29304212.932789996</v>
      </c>
      <c r="J19" s="152">
        <f t="shared" si="3"/>
        <v>736064.09470000002</v>
      </c>
      <c r="K19" s="152">
        <f t="shared" si="3"/>
        <v>30137111.4399</v>
      </c>
      <c r="L19" s="152">
        <f t="shared" si="3"/>
        <v>481947.58600000001</v>
      </c>
      <c r="M19" s="152">
        <f t="shared" si="3"/>
        <v>57393.115499999993</v>
      </c>
      <c r="N19" s="152">
        <f t="shared" si="3"/>
        <v>352936443.39594001</v>
      </c>
      <c r="O19" s="152">
        <f t="shared" si="3"/>
        <v>13068947.379810004</v>
      </c>
      <c r="P19" s="152">
        <f t="shared" si="3"/>
        <v>366005390.77575004</v>
      </c>
    </row>
    <row r="20" spans="1:17" s="125" customFormat="1" ht="12.75" customHeight="1" x14ac:dyDescent="0.2">
      <c r="B20" s="126" t="s">
        <v>19</v>
      </c>
      <c r="C20" s="127"/>
      <c r="D20" s="56"/>
      <c r="E20" s="128"/>
      <c r="F20" s="57"/>
      <c r="P20" s="129"/>
    </row>
    <row r="21" spans="1:17" s="103" customFormat="1" ht="12.75" customHeight="1" x14ac:dyDescent="0.2">
      <c r="C21" s="126"/>
      <c r="D21" s="102"/>
      <c r="E21" s="130"/>
      <c r="F21" s="104"/>
    </row>
    <row r="22" spans="1:17" ht="12.75" customHeight="1" x14ac:dyDescent="0.2">
      <c r="C22" s="101" t="s">
        <v>0</v>
      </c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O22" s="119"/>
      <c r="P22" s="119"/>
    </row>
    <row r="23" spans="1:17" ht="12.75" customHeight="1" x14ac:dyDescent="0.2"/>
  </sheetData>
  <mergeCells count="10">
    <mergeCell ref="N5:N6"/>
    <mergeCell ref="O5:O6"/>
    <mergeCell ref="P5:P6"/>
    <mergeCell ref="B19:C19"/>
    <mergeCell ref="D5:D6"/>
    <mergeCell ref="I5:I6"/>
    <mergeCell ref="J5:J6"/>
    <mergeCell ref="K5:K6"/>
    <mergeCell ref="L5:L6"/>
    <mergeCell ref="M5:M6"/>
  </mergeCells>
  <conditionalFormatting sqref="E20 B19:C19 E19:P19 K9:O11 K7:P8 J10:J11 I7:J9 I10:I14 P9:P14 J12:O14 I15:P18 E12:H18 D7:H11 D12:D19">
    <cfRule type="cellIs" dxfId="28" priority="1" stopIfTrue="1" operator="equal">
      <formula>0</formula>
    </cfRule>
  </conditionalFormatting>
  <pageMargins left="0.75" right="0.75" top="1" bottom="1" header="0" footer="0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workbookViewId="0">
      <selection activeCell="J30" sqref="J30"/>
    </sheetView>
  </sheetViews>
  <sheetFormatPr baseColWidth="10" defaultRowHeight="13.5" customHeight="1" x14ac:dyDescent="0.2"/>
  <cols>
    <col min="1" max="1" width="6.140625" customWidth="1"/>
    <col min="2" max="2" width="7" customWidth="1"/>
    <col min="3" max="3" width="9.140625" customWidth="1"/>
    <col min="4" max="4" width="12.42578125" customWidth="1"/>
    <col min="5" max="5" width="11.42578125" bestFit="1" customWidth="1"/>
    <col min="6" max="6" width="9.140625" customWidth="1"/>
    <col min="7" max="7" width="9.140625" bestFit="1" customWidth="1"/>
    <col min="8" max="8" width="10.140625" bestFit="1" customWidth="1"/>
    <col min="9" max="9" width="10.42578125" customWidth="1"/>
    <col min="10" max="10" width="14.42578125" customWidth="1"/>
    <col min="11" max="11" width="10.140625" bestFit="1" customWidth="1"/>
    <col min="12" max="12" width="9" customWidth="1"/>
    <col min="13" max="13" width="13" customWidth="1"/>
    <col min="15" max="15" width="12.42578125" customWidth="1"/>
    <col min="16" max="16" width="14.42578125" customWidth="1"/>
  </cols>
  <sheetData>
    <row r="1" spans="1:18" ht="12.75" customHeight="1" x14ac:dyDescent="0.2"/>
    <row r="2" spans="1:18" ht="12.75" customHeight="1" x14ac:dyDescent="0.2">
      <c r="B2" s="31"/>
      <c r="C2" s="31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3"/>
      <c r="P2" s="33"/>
    </row>
    <row r="3" spans="1:18" ht="12.75" customHeight="1" x14ac:dyDescent="0.2">
      <c r="A3" t="s">
        <v>0</v>
      </c>
      <c r="B3" s="1" t="s">
        <v>15</v>
      </c>
      <c r="C3" s="1"/>
      <c r="D3" s="11"/>
      <c r="E3" s="2"/>
      <c r="F3" s="2"/>
      <c r="G3" s="2"/>
      <c r="H3" s="2"/>
      <c r="I3" s="2"/>
      <c r="J3" s="2"/>
      <c r="K3" s="2"/>
      <c r="L3" s="2"/>
      <c r="M3" s="2"/>
      <c r="N3" s="2"/>
      <c r="O3" s="34"/>
      <c r="P3" s="3"/>
    </row>
    <row r="4" spans="1:18" ht="12.75" customHeight="1" thickBot="1" x14ac:dyDescent="0.25">
      <c r="B4" s="4" t="s">
        <v>41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35"/>
    </row>
    <row r="5" spans="1:18" ht="12.75" customHeight="1" x14ac:dyDescent="0.2">
      <c r="B5" s="146" t="s">
        <v>13</v>
      </c>
      <c r="C5" s="147"/>
      <c r="D5" s="236" t="s">
        <v>1</v>
      </c>
      <c r="E5" s="148" t="s">
        <v>3</v>
      </c>
      <c r="F5" s="148"/>
      <c r="G5" s="148"/>
      <c r="H5" s="148"/>
      <c r="I5" s="238" t="s">
        <v>4</v>
      </c>
      <c r="J5" s="240" t="s">
        <v>32</v>
      </c>
      <c r="K5" s="242" t="s">
        <v>5</v>
      </c>
      <c r="L5" s="244" t="s">
        <v>6</v>
      </c>
      <c r="M5" s="240" t="s">
        <v>16</v>
      </c>
      <c r="N5" s="230" t="s">
        <v>7</v>
      </c>
      <c r="O5" s="232" t="s">
        <v>8</v>
      </c>
      <c r="P5" s="234" t="s">
        <v>20</v>
      </c>
    </row>
    <row r="6" spans="1:18" ht="43.5" customHeight="1" thickBot="1" x14ac:dyDescent="0.25">
      <c r="B6" s="149" t="s">
        <v>14</v>
      </c>
      <c r="C6" s="150" t="s">
        <v>12</v>
      </c>
      <c r="D6" s="237"/>
      <c r="E6" s="151" t="s">
        <v>9</v>
      </c>
      <c r="F6" s="151" t="s">
        <v>10</v>
      </c>
      <c r="G6" s="151" t="s">
        <v>11</v>
      </c>
      <c r="H6" s="151" t="s">
        <v>2</v>
      </c>
      <c r="I6" s="239"/>
      <c r="J6" s="241"/>
      <c r="K6" s="243"/>
      <c r="L6" s="245"/>
      <c r="M6" s="246"/>
      <c r="N6" s="231"/>
      <c r="O6" s="233"/>
      <c r="P6" s="235"/>
    </row>
    <row r="7" spans="1:18" ht="12.75" customHeight="1" x14ac:dyDescent="0.2">
      <c r="B7" s="22">
        <v>2018</v>
      </c>
      <c r="C7" s="36">
        <v>1</v>
      </c>
      <c r="D7" s="38">
        <v>15532550.593090001</v>
      </c>
      <c r="E7" s="38">
        <v>972694.1505799999</v>
      </c>
      <c r="F7" s="38">
        <v>107657.79824</v>
      </c>
      <c r="G7" s="38">
        <v>75447.611319999996</v>
      </c>
      <c r="H7" s="38">
        <f>+G7+F7+E7</f>
        <v>1155799.56014</v>
      </c>
      <c r="I7" s="48">
        <v>4036264.7828100012</v>
      </c>
      <c r="J7" s="37">
        <v>65719.659700000004</v>
      </c>
      <c r="K7" s="37">
        <v>2202230.9799000002</v>
      </c>
      <c r="L7" s="37">
        <v>28961.865999999998</v>
      </c>
      <c r="M7" s="37">
        <v>14784.131599999997</v>
      </c>
      <c r="N7" s="47">
        <f>+M7+L7+K7++J7+I7+H7+D7</f>
        <v>23036311.573240004</v>
      </c>
      <c r="O7" s="41">
        <v>833371.34794000152</v>
      </c>
      <c r="P7" s="51">
        <f>+O7+N7</f>
        <v>23869682.921180006</v>
      </c>
      <c r="Q7" s="43"/>
      <c r="R7" s="43"/>
    </row>
    <row r="8" spans="1:18" ht="12.75" customHeight="1" x14ac:dyDescent="0.2">
      <c r="B8" s="44"/>
      <c r="C8" s="36">
        <v>2</v>
      </c>
      <c r="D8" s="38">
        <v>13401116.04965</v>
      </c>
      <c r="E8" s="38">
        <v>3074754.18768</v>
      </c>
      <c r="F8" s="38">
        <v>404278.54045000009</v>
      </c>
      <c r="G8" s="38">
        <v>115609.12500999999</v>
      </c>
      <c r="H8" s="38">
        <f t="shared" ref="H8:H18" si="0">+G8+F8+E8</f>
        <v>3594641.8531400003</v>
      </c>
      <c r="I8" s="48">
        <v>1217187.2033199999</v>
      </c>
      <c r="J8" s="37">
        <v>23677.361500000003</v>
      </c>
      <c r="K8" s="37">
        <v>1743505.2837999999</v>
      </c>
      <c r="L8" s="37">
        <v>96664.51</v>
      </c>
      <c r="M8" s="37">
        <v>12324.015099999999</v>
      </c>
      <c r="N8" s="47">
        <f t="shared" ref="N8:N18" si="1">+M8+L8+K8++J8+I8+H8+D8</f>
        <v>20089116.27651</v>
      </c>
      <c r="O8" s="45">
        <v>720644.4385499988</v>
      </c>
      <c r="P8" s="51">
        <f t="shared" ref="P8:P18" si="2">+O8+N8</f>
        <v>20809760.715059999</v>
      </c>
      <c r="Q8" s="43"/>
      <c r="R8" s="43"/>
    </row>
    <row r="9" spans="1:18" ht="12.75" customHeight="1" x14ac:dyDescent="0.2">
      <c r="B9" s="44"/>
      <c r="C9" s="36">
        <v>3</v>
      </c>
      <c r="D9" s="38">
        <v>13280753.159499997</v>
      </c>
      <c r="E9" s="38">
        <v>1250794.6920999999</v>
      </c>
      <c r="F9" s="38">
        <v>157187.08803000001</v>
      </c>
      <c r="G9" s="38">
        <v>1459757.56406</v>
      </c>
      <c r="H9" s="38">
        <f t="shared" si="0"/>
        <v>2867739.3441899996</v>
      </c>
      <c r="I9" s="37">
        <v>2905181.3549999995</v>
      </c>
      <c r="J9" s="37">
        <v>28882.000100000001</v>
      </c>
      <c r="K9" s="37">
        <v>1894472.6697999998</v>
      </c>
      <c r="L9" s="37">
        <v>31164.945200000002</v>
      </c>
      <c r="M9" s="47">
        <v>19032.567999999999</v>
      </c>
      <c r="N9" s="47">
        <f t="shared" si="1"/>
        <v>21027226.041789997</v>
      </c>
      <c r="O9" s="49">
        <v>924937.41359000164</v>
      </c>
      <c r="P9" s="51">
        <f t="shared" si="2"/>
        <v>21952163.45538</v>
      </c>
      <c r="R9" s="43"/>
    </row>
    <row r="10" spans="1:18" ht="12.75" customHeight="1" x14ac:dyDescent="0.2">
      <c r="B10" s="44"/>
      <c r="C10" s="36">
        <v>4</v>
      </c>
      <c r="D10" s="38">
        <v>13787628.973710001</v>
      </c>
      <c r="E10" s="38">
        <v>1369269.0544399999</v>
      </c>
      <c r="F10" s="38">
        <v>199172.56933000003</v>
      </c>
      <c r="G10" s="38">
        <v>228989.91958999998</v>
      </c>
      <c r="H10" s="38">
        <f t="shared" si="0"/>
        <v>1797431.54336</v>
      </c>
      <c r="I10" s="37">
        <v>1167632.47444</v>
      </c>
      <c r="J10" s="37">
        <v>26005.863799999996</v>
      </c>
      <c r="K10" s="37">
        <v>2047707.4111000001</v>
      </c>
      <c r="L10" s="37">
        <v>39293.146499999995</v>
      </c>
      <c r="M10" s="37">
        <v>21821.205300000001</v>
      </c>
      <c r="N10" s="47">
        <f t="shared" si="1"/>
        <v>18887520.618210003</v>
      </c>
      <c r="O10" s="41">
        <v>951054.82903000119</v>
      </c>
      <c r="P10" s="51">
        <f t="shared" si="2"/>
        <v>19838575.447240002</v>
      </c>
      <c r="Q10" s="43"/>
      <c r="R10" s="43"/>
    </row>
    <row r="11" spans="1:18" ht="12.75" customHeight="1" x14ac:dyDescent="0.2">
      <c r="B11" s="44"/>
      <c r="C11" s="36">
        <v>5</v>
      </c>
      <c r="D11" s="38">
        <v>14676670.80686</v>
      </c>
      <c r="E11" s="48">
        <v>670885.1899</v>
      </c>
      <c r="F11" s="48">
        <v>112287.62665000001</v>
      </c>
      <c r="G11" s="48">
        <v>166807.23784000002</v>
      </c>
      <c r="H11" s="38">
        <f t="shared" si="0"/>
        <v>949980.05438999995</v>
      </c>
      <c r="I11" s="48">
        <v>2653936.9582100003</v>
      </c>
      <c r="J11" s="48">
        <v>34080.393800000005</v>
      </c>
      <c r="K11" s="48">
        <v>2157815.3111999999</v>
      </c>
      <c r="L11" s="48">
        <v>16982.2186</v>
      </c>
      <c r="M11" s="37">
        <v>23452.013899999998</v>
      </c>
      <c r="N11" s="47">
        <f t="shared" si="1"/>
        <v>20512917.756960001</v>
      </c>
      <c r="O11" s="41">
        <v>1019681.9325899987</v>
      </c>
      <c r="P11" s="51">
        <f t="shared" si="2"/>
        <v>21532599.689550001</v>
      </c>
      <c r="Q11" s="43"/>
      <c r="R11" s="43"/>
    </row>
    <row r="12" spans="1:18" ht="12.75" customHeight="1" x14ac:dyDescent="0.2">
      <c r="B12" s="44"/>
      <c r="C12" s="36">
        <v>6</v>
      </c>
      <c r="D12" s="38">
        <v>15038327.77043</v>
      </c>
      <c r="E12" s="38">
        <v>1453150.4617500002</v>
      </c>
      <c r="F12" s="38">
        <v>188806.32058000003</v>
      </c>
      <c r="G12" s="38">
        <v>1401277.2993800002</v>
      </c>
      <c r="H12" s="38">
        <f t="shared" si="0"/>
        <v>3043234.0817100005</v>
      </c>
      <c r="I12" s="37">
        <v>1174964.3332300002</v>
      </c>
      <c r="J12" s="37">
        <v>38386.401599999997</v>
      </c>
      <c r="K12" s="37">
        <v>2237870.6062000003</v>
      </c>
      <c r="L12" s="37">
        <v>42661.330900000001</v>
      </c>
      <c r="M12" s="37">
        <v>24327.891900000002</v>
      </c>
      <c r="N12" s="47">
        <f t="shared" si="1"/>
        <v>21599772.415970001</v>
      </c>
      <c r="O12" s="97">
        <v>974040.39055999834</v>
      </c>
      <c r="P12" s="51">
        <f t="shared" si="2"/>
        <v>22573812.806529999</v>
      </c>
      <c r="Q12" s="43"/>
      <c r="R12" s="43"/>
    </row>
    <row r="13" spans="1:18" ht="12.75" customHeight="1" x14ac:dyDescent="0.2">
      <c r="B13" s="44"/>
      <c r="C13" s="36">
        <v>7</v>
      </c>
      <c r="D13" s="38">
        <v>15552334.867629999</v>
      </c>
      <c r="E13" s="38">
        <v>638216.99874000007</v>
      </c>
      <c r="F13" s="38">
        <v>99439.401610000001</v>
      </c>
      <c r="G13" s="38">
        <v>238278.61162999997</v>
      </c>
      <c r="H13" s="38">
        <f t="shared" si="0"/>
        <v>975935.01198000007</v>
      </c>
      <c r="I13" s="37">
        <v>2848683.2736499994</v>
      </c>
      <c r="J13" s="37">
        <v>42413.912499999999</v>
      </c>
      <c r="K13" s="37">
        <v>2010423.7617000001</v>
      </c>
      <c r="L13" s="37">
        <v>16504.636500000001</v>
      </c>
      <c r="M13" s="37">
        <v>13902.439200000001</v>
      </c>
      <c r="N13" s="47">
        <f t="shared" si="1"/>
        <v>21460197.903159998</v>
      </c>
      <c r="O13" s="97">
        <v>986958.00127000036</v>
      </c>
      <c r="P13" s="51">
        <f t="shared" si="2"/>
        <v>22447155.904429998</v>
      </c>
      <c r="Q13" s="43"/>
      <c r="R13" s="43"/>
    </row>
    <row r="14" spans="1:18" ht="12.75" customHeight="1" x14ac:dyDescent="0.2">
      <c r="B14" s="44"/>
      <c r="C14" s="36">
        <v>8</v>
      </c>
      <c r="D14" s="38">
        <v>17230243.11169</v>
      </c>
      <c r="E14" s="38">
        <v>1388531.6663500001</v>
      </c>
      <c r="F14" s="38">
        <v>192089.56859000001</v>
      </c>
      <c r="G14" s="38">
        <v>218620.53395999997</v>
      </c>
      <c r="H14" s="38">
        <f t="shared" si="0"/>
        <v>1799241.7689</v>
      </c>
      <c r="I14" s="37">
        <v>1277272.1333399999</v>
      </c>
      <c r="J14" s="37">
        <v>32910.373200000002</v>
      </c>
      <c r="K14" s="37">
        <v>2053515.5352999999</v>
      </c>
      <c r="L14" s="37">
        <v>40210.222200000004</v>
      </c>
      <c r="M14" s="37">
        <v>13546.833700000003</v>
      </c>
      <c r="N14" s="47">
        <f t="shared" si="1"/>
        <v>22446939.978330001</v>
      </c>
      <c r="O14" s="97">
        <v>996326.98572000093</v>
      </c>
      <c r="P14" s="51">
        <f t="shared" si="2"/>
        <v>23443266.964050002</v>
      </c>
      <c r="Q14" s="43"/>
      <c r="R14" s="43"/>
    </row>
    <row r="15" spans="1:18" ht="12.75" customHeight="1" x14ac:dyDescent="0.2">
      <c r="B15" s="44"/>
      <c r="C15" s="36">
        <v>9</v>
      </c>
      <c r="D15" s="38">
        <v>17863145.30779</v>
      </c>
      <c r="E15" s="38">
        <v>734711.58387999993</v>
      </c>
      <c r="F15" s="38">
        <v>81701.928580000022</v>
      </c>
      <c r="G15" s="38">
        <v>1391241.89955</v>
      </c>
      <c r="H15" s="38">
        <f t="shared" si="0"/>
        <v>2207655.4120100001</v>
      </c>
      <c r="I15" s="37">
        <v>2494974.8853999996</v>
      </c>
      <c r="J15" s="37">
        <v>30583.638999999996</v>
      </c>
      <c r="K15" s="47">
        <v>2240818.6243000003</v>
      </c>
      <c r="L15" s="37">
        <v>19062.248</v>
      </c>
      <c r="M15" s="45">
        <v>11160.803699999999</v>
      </c>
      <c r="N15" s="47">
        <f t="shared" si="1"/>
        <v>24867400.920200001</v>
      </c>
      <c r="O15" s="97">
        <v>982369.60248999996</v>
      </c>
      <c r="P15" s="51">
        <f t="shared" si="2"/>
        <v>25849770.522690002</v>
      </c>
      <c r="R15" s="43"/>
    </row>
    <row r="16" spans="1:18" ht="12.75" customHeight="1" x14ac:dyDescent="0.2">
      <c r="B16" s="44"/>
      <c r="C16" s="36">
        <v>10</v>
      </c>
      <c r="D16" s="38">
        <v>18172637.461610001</v>
      </c>
      <c r="E16" s="38">
        <v>1285292.6869699999</v>
      </c>
      <c r="F16" s="38">
        <v>57919.054799999991</v>
      </c>
      <c r="G16" s="38">
        <v>326410.33703</v>
      </c>
      <c r="H16" s="38">
        <v>1669622.0788</v>
      </c>
      <c r="I16" s="37">
        <v>1139188.2754200001</v>
      </c>
      <c r="J16" s="37">
        <v>40911.140500000009</v>
      </c>
      <c r="K16" s="37">
        <v>2081361.9554999995</v>
      </c>
      <c r="L16" s="37">
        <v>36679.188999999991</v>
      </c>
      <c r="M16" s="37">
        <v>15090.472400000001</v>
      </c>
      <c r="N16" s="47">
        <f t="shared" si="1"/>
        <v>23155490.573229998</v>
      </c>
      <c r="O16" s="41">
        <v>988887.90632000018</v>
      </c>
      <c r="P16" s="51">
        <f t="shared" si="2"/>
        <v>24144378.47955</v>
      </c>
      <c r="Q16" s="43"/>
      <c r="R16" s="43"/>
    </row>
    <row r="17" spans="1:18" ht="12.75" customHeight="1" x14ac:dyDescent="0.2">
      <c r="B17" s="44"/>
      <c r="C17" s="36">
        <v>11</v>
      </c>
      <c r="D17" s="38">
        <v>18822498.177190006</v>
      </c>
      <c r="E17" s="38">
        <v>657750.89787999995</v>
      </c>
      <c r="F17" s="38">
        <v>58063.29782</v>
      </c>
      <c r="G17" s="38">
        <v>1431415.7042099999</v>
      </c>
      <c r="H17" s="38">
        <v>2147229.8999099997</v>
      </c>
      <c r="I17" s="37">
        <v>753323.69646000001</v>
      </c>
      <c r="J17" s="37">
        <v>82456.61039999999</v>
      </c>
      <c r="K17" s="37">
        <v>2035080.4349</v>
      </c>
      <c r="L17" s="37">
        <v>16496.406299999999</v>
      </c>
      <c r="M17" s="37">
        <v>14504.495699999999</v>
      </c>
      <c r="N17" s="47">
        <f t="shared" si="1"/>
        <v>23871589.720860004</v>
      </c>
      <c r="O17" s="73">
        <v>924125.99267999863</v>
      </c>
      <c r="P17" s="51">
        <f t="shared" si="2"/>
        <v>24795715.713540003</v>
      </c>
      <c r="Q17" s="43"/>
      <c r="R17" s="43"/>
    </row>
    <row r="18" spans="1:18" ht="12.75" customHeight="1" thickBot="1" x14ac:dyDescent="0.25">
      <c r="B18" s="44"/>
      <c r="C18" s="36">
        <v>12</v>
      </c>
      <c r="D18" s="38">
        <v>18276658.059799999</v>
      </c>
      <c r="E18" s="38">
        <v>358279.96183999995</v>
      </c>
      <c r="F18" s="38">
        <v>48001.683469999989</v>
      </c>
      <c r="G18" s="38">
        <v>240361.25911999997</v>
      </c>
      <c r="H18" s="38">
        <f t="shared" si="0"/>
        <v>646642.90442999988</v>
      </c>
      <c r="I18" s="37">
        <v>869679.52613000013</v>
      </c>
      <c r="J18" s="37">
        <v>86797.420100000003</v>
      </c>
      <c r="K18" s="37">
        <v>2213628.1705999994</v>
      </c>
      <c r="L18" s="37">
        <v>7908.2299000000012</v>
      </c>
      <c r="M18" s="37">
        <v>10913.721500000001</v>
      </c>
      <c r="N18" s="47">
        <f t="shared" si="1"/>
        <v>22112228.032459997</v>
      </c>
      <c r="O18" s="41">
        <v>905759.88483999867</v>
      </c>
      <c r="P18" s="51">
        <f t="shared" si="2"/>
        <v>23017987.917299997</v>
      </c>
      <c r="Q18" s="43"/>
      <c r="R18" s="43"/>
    </row>
    <row r="19" spans="1:18" thickBot="1" x14ac:dyDescent="0.25">
      <c r="A19" s="43"/>
      <c r="B19" s="217" t="s">
        <v>18</v>
      </c>
      <c r="C19" s="218"/>
      <c r="D19" s="152">
        <f t="shared" ref="D19:P19" si="3">SUM(D7:D18)</f>
        <v>191634564.33895001</v>
      </c>
      <c r="E19" s="152">
        <f t="shared" si="3"/>
        <v>13854331.532109998</v>
      </c>
      <c r="F19" s="152">
        <f t="shared" si="3"/>
        <v>1706604.8781500005</v>
      </c>
      <c r="G19" s="152">
        <f t="shared" si="3"/>
        <v>7294217.1027000006</v>
      </c>
      <c r="H19" s="152">
        <f t="shared" si="3"/>
        <v>22855153.512959998</v>
      </c>
      <c r="I19" s="152">
        <f t="shared" si="3"/>
        <v>22538288.897410005</v>
      </c>
      <c r="J19" s="152">
        <f t="shared" si="3"/>
        <v>532824.77619999996</v>
      </c>
      <c r="K19" s="152">
        <f t="shared" si="3"/>
        <v>24918430.7443</v>
      </c>
      <c r="L19" s="152">
        <f t="shared" si="3"/>
        <v>392588.94910000003</v>
      </c>
      <c r="M19" s="152">
        <f t="shared" si="3"/>
        <v>194860.59200000003</v>
      </c>
      <c r="N19" s="152">
        <f t="shared" si="3"/>
        <v>263066711.81092</v>
      </c>
      <c r="O19" s="152">
        <f t="shared" si="3"/>
        <v>11208158.725579999</v>
      </c>
      <c r="P19" s="152">
        <f t="shared" si="3"/>
        <v>274274870.53649998</v>
      </c>
      <c r="Q19" s="43"/>
    </row>
    <row r="20" spans="1:18" s="54" customFormat="1" ht="12.75" customHeight="1" x14ac:dyDescent="0.2">
      <c r="B20" s="21" t="s">
        <v>19</v>
      </c>
      <c r="C20" s="55"/>
      <c r="D20" s="56"/>
      <c r="E20" s="98"/>
      <c r="F20" s="57"/>
      <c r="P20" s="99"/>
    </row>
    <row r="21" spans="1:18" s="32" customFormat="1" ht="12.75" customHeight="1" x14ac:dyDescent="0.2">
      <c r="C21" s="21"/>
      <c r="D21" s="31"/>
      <c r="E21" s="58"/>
      <c r="F21" s="33"/>
    </row>
    <row r="22" spans="1:18" ht="12.75" customHeight="1" x14ac:dyDescent="0.2">
      <c r="C22" t="s">
        <v>0</v>
      </c>
      <c r="D22" s="43"/>
      <c r="E22" s="43"/>
      <c r="F22" s="43"/>
      <c r="G22" s="43"/>
      <c r="H22" s="43"/>
      <c r="I22" s="43"/>
      <c r="J22" s="43"/>
      <c r="K22" s="43"/>
      <c r="L22" s="43"/>
      <c r="M22" s="43"/>
      <c r="O22" s="43"/>
      <c r="P22" s="43"/>
    </row>
    <row r="23" spans="1:18" ht="12.75" customHeight="1" x14ac:dyDescent="0.2"/>
  </sheetData>
  <mergeCells count="10">
    <mergeCell ref="N5:N6"/>
    <mergeCell ref="O5:O6"/>
    <mergeCell ref="P5:P6"/>
    <mergeCell ref="B19:C19"/>
    <mergeCell ref="D5:D6"/>
    <mergeCell ref="I5:I6"/>
    <mergeCell ref="J5:J6"/>
    <mergeCell ref="K5:K6"/>
    <mergeCell ref="L5:L6"/>
    <mergeCell ref="M5:M6"/>
  </mergeCells>
  <conditionalFormatting sqref="E20 B19:C19 E19:P19 K9:O11 K7:P8 J12:O13 J10:J11 I7:J9 I10:I14 J14:P14 I15:P18 E12:H18 D7:H11 D12:D19 P9:P13">
    <cfRule type="cellIs" dxfId="27" priority="2" stopIfTrue="1" operator="equal">
      <formula>0</formula>
    </cfRule>
  </conditionalFormatting>
  <conditionalFormatting sqref="E20 B19:C19 E19:P19 K9:O11 K7:P8 J10:J11 I7:J9 I10:I14 E12:H18 D7:H11 D12:D19 P9:P14 J12:O14 I15:P18">
    <cfRule type="cellIs" dxfId="26" priority="1" stopIfTrue="1" operator="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workbookViewId="0">
      <selection activeCell="J30" sqref="J30"/>
    </sheetView>
  </sheetViews>
  <sheetFormatPr baseColWidth="10" defaultRowHeight="13.5" customHeight="1" x14ac:dyDescent="0.2"/>
  <cols>
    <col min="1" max="1" width="6.140625" customWidth="1"/>
    <col min="2" max="2" width="7" customWidth="1"/>
    <col min="3" max="3" width="9.140625" customWidth="1"/>
    <col min="4" max="4" width="12.42578125" customWidth="1"/>
    <col min="5" max="5" width="11.42578125" bestFit="1" customWidth="1"/>
    <col min="6" max="6" width="9.140625" customWidth="1"/>
    <col min="7" max="7" width="9.140625" bestFit="1" customWidth="1"/>
    <col min="8" max="8" width="10.140625" bestFit="1" customWidth="1"/>
    <col min="9" max="9" width="10.42578125" customWidth="1"/>
    <col min="10" max="10" width="14.42578125" customWidth="1"/>
    <col min="11" max="11" width="10.140625" bestFit="1" customWidth="1"/>
    <col min="12" max="12" width="9" customWidth="1"/>
    <col min="13" max="13" width="13" customWidth="1"/>
    <col min="15" max="15" width="12.42578125" customWidth="1"/>
    <col min="16" max="16" width="14.42578125" customWidth="1"/>
  </cols>
  <sheetData>
    <row r="1" spans="1:18" ht="12.75" customHeight="1" x14ac:dyDescent="0.2"/>
    <row r="2" spans="1:18" ht="12.75" customHeight="1" x14ac:dyDescent="0.2">
      <c r="B2" s="31"/>
      <c r="C2" s="31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3"/>
      <c r="P2" s="33"/>
    </row>
    <row r="3" spans="1:18" ht="12.75" customHeight="1" x14ac:dyDescent="0.2">
      <c r="A3" t="s">
        <v>0</v>
      </c>
      <c r="B3" s="1" t="s">
        <v>15</v>
      </c>
      <c r="C3" s="1"/>
      <c r="D3" s="11"/>
      <c r="E3" s="2"/>
      <c r="F3" s="2"/>
      <c r="G3" s="2"/>
      <c r="H3" s="2"/>
      <c r="I3" s="2"/>
      <c r="J3" s="2"/>
      <c r="K3" s="2"/>
      <c r="L3" s="2"/>
      <c r="M3" s="2"/>
      <c r="N3" s="2"/>
      <c r="O3" s="34"/>
      <c r="P3" s="3"/>
    </row>
    <row r="4" spans="1:18" ht="12.75" customHeight="1" thickBot="1" x14ac:dyDescent="0.25">
      <c r="B4" s="4" t="s">
        <v>40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35"/>
    </row>
    <row r="5" spans="1:18" ht="12.75" customHeight="1" x14ac:dyDescent="0.2">
      <c r="B5" s="146" t="s">
        <v>13</v>
      </c>
      <c r="C5" s="147"/>
      <c r="D5" s="236" t="s">
        <v>1</v>
      </c>
      <c r="E5" s="148" t="s">
        <v>3</v>
      </c>
      <c r="F5" s="148"/>
      <c r="G5" s="148"/>
      <c r="H5" s="148"/>
      <c r="I5" s="238" t="s">
        <v>4</v>
      </c>
      <c r="J5" s="240" t="s">
        <v>32</v>
      </c>
      <c r="K5" s="242" t="s">
        <v>5</v>
      </c>
      <c r="L5" s="244" t="s">
        <v>6</v>
      </c>
      <c r="M5" s="240" t="s">
        <v>16</v>
      </c>
      <c r="N5" s="230" t="s">
        <v>7</v>
      </c>
      <c r="O5" s="232" t="s">
        <v>8</v>
      </c>
      <c r="P5" s="234" t="s">
        <v>20</v>
      </c>
    </row>
    <row r="6" spans="1:18" ht="43.5" customHeight="1" thickBot="1" x14ac:dyDescent="0.25">
      <c r="B6" s="149" t="s">
        <v>14</v>
      </c>
      <c r="C6" s="150" t="s">
        <v>12</v>
      </c>
      <c r="D6" s="237"/>
      <c r="E6" s="151" t="s">
        <v>9</v>
      </c>
      <c r="F6" s="151" t="s">
        <v>10</v>
      </c>
      <c r="G6" s="151" t="s">
        <v>11</v>
      </c>
      <c r="H6" s="151" t="s">
        <v>2</v>
      </c>
      <c r="I6" s="239"/>
      <c r="J6" s="241"/>
      <c r="K6" s="243"/>
      <c r="L6" s="245"/>
      <c r="M6" s="246"/>
      <c r="N6" s="231"/>
      <c r="O6" s="233"/>
      <c r="P6" s="235"/>
    </row>
    <row r="7" spans="1:18" ht="12.75" customHeight="1" x14ac:dyDescent="0.2">
      <c r="B7" s="22">
        <v>2017</v>
      </c>
      <c r="C7" s="36">
        <v>1</v>
      </c>
      <c r="D7" s="38">
        <v>12151982.093359999</v>
      </c>
      <c r="E7" s="38">
        <v>409407.72253999999</v>
      </c>
      <c r="F7" s="38">
        <v>40732.897830000002</v>
      </c>
      <c r="G7" s="38">
        <v>57612.276809999988</v>
      </c>
      <c r="H7" s="38">
        <f>+G7+F7+E7</f>
        <v>507752.89717999997</v>
      </c>
      <c r="I7" s="48">
        <v>3232238.9157399992</v>
      </c>
      <c r="J7" s="37">
        <v>42867.904999999984</v>
      </c>
      <c r="K7" s="37">
        <v>1639746.0204999999</v>
      </c>
      <c r="L7" s="37">
        <v>12271.910399999997</v>
      </c>
      <c r="M7" s="37">
        <v>7087.8262999999997</v>
      </c>
      <c r="N7" s="47">
        <f>+M7+L7+K7++J7+I7+H7+D7</f>
        <v>17593947.56848</v>
      </c>
      <c r="O7" s="41">
        <v>369633.99675000057</v>
      </c>
      <c r="P7" s="51">
        <f>+O7+N7</f>
        <v>17963581.565230001</v>
      </c>
      <c r="Q7" s="43"/>
      <c r="R7" s="43"/>
    </row>
    <row r="8" spans="1:18" ht="12.75" customHeight="1" x14ac:dyDescent="0.2">
      <c r="B8" s="44"/>
      <c r="C8" s="36">
        <v>2</v>
      </c>
      <c r="D8" s="38">
        <v>10252308.635430001</v>
      </c>
      <c r="E8" s="38">
        <v>2202363.12574</v>
      </c>
      <c r="F8" s="38">
        <v>267464.04485000001</v>
      </c>
      <c r="G8" s="38">
        <v>52766.69993000001</v>
      </c>
      <c r="H8" s="38">
        <f t="shared" ref="H8:H18" si="0">+G8+F8+E8</f>
        <v>2522593.8705199999</v>
      </c>
      <c r="I8" s="48">
        <v>814094.47881999996</v>
      </c>
      <c r="J8" s="37">
        <v>20433.191999999999</v>
      </c>
      <c r="K8" s="37">
        <v>1520264.3159000003</v>
      </c>
      <c r="L8" s="37">
        <v>76872.265299999985</v>
      </c>
      <c r="M8" s="37">
        <v>7059.1374000000005</v>
      </c>
      <c r="N8" s="47">
        <f t="shared" ref="N8:N18" si="1">+M8+L8+K8++J8+I8+H8+D8</f>
        <v>15213625.895370001</v>
      </c>
      <c r="O8" s="45">
        <v>365437.7495300002</v>
      </c>
      <c r="P8" s="51">
        <f t="shared" ref="P8:P18" si="2">+O8+N8</f>
        <v>15579063.644900002</v>
      </c>
      <c r="Q8" s="43"/>
      <c r="R8" s="43"/>
    </row>
    <row r="9" spans="1:18" ht="12.75" customHeight="1" x14ac:dyDescent="0.2">
      <c r="B9" s="44"/>
      <c r="C9" s="36">
        <v>3</v>
      </c>
      <c r="D9" s="38">
        <v>11603244.50622</v>
      </c>
      <c r="E9" s="38">
        <v>794988.98089000001</v>
      </c>
      <c r="F9" s="38">
        <v>102638.07165</v>
      </c>
      <c r="G9" s="38">
        <v>1071631.95979</v>
      </c>
      <c r="H9" s="38">
        <f t="shared" si="0"/>
        <v>1969259.0123300001</v>
      </c>
      <c r="I9" s="37">
        <v>2315261.73606</v>
      </c>
      <c r="J9" s="37">
        <v>31198.929700000004</v>
      </c>
      <c r="K9" s="37">
        <v>1377451.4719</v>
      </c>
      <c r="L9" s="37">
        <v>22979.6505</v>
      </c>
      <c r="M9" s="47">
        <v>7030.5053999999991</v>
      </c>
      <c r="N9" s="47">
        <f t="shared" si="1"/>
        <v>17326425.812109999</v>
      </c>
      <c r="O9" s="49">
        <v>556708.57565999997</v>
      </c>
      <c r="P9" s="51">
        <f t="shared" si="2"/>
        <v>17883134.387770001</v>
      </c>
      <c r="R9" s="43"/>
    </row>
    <row r="10" spans="1:18" ht="12.75" customHeight="1" x14ac:dyDescent="0.2">
      <c r="B10" s="44"/>
      <c r="C10" s="36">
        <v>4</v>
      </c>
      <c r="D10" s="38">
        <v>11504194.076889999</v>
      </c>
      <c r="E10" s="38">
        <v>836551.97678000014</v>
      </c>
      <c r="F10" s="38">
        <v>115119.26921</v>
      </c>
      <c r="G10" s="38">
        <v>158074.74349000002</v>
      </c>
      <c r="H10" s="38">
        <f t="shared" si="0"/>
        <v>1109745.9894800002</v>
      </c>
      <c r="I10" s="37">
        <v>931694.45412000001</v>
      </c>
      <c r="J10" s="37">
        <v>28870.763100000004</v>
      </c>
      <c r="K10" s="37">
        <v>1687230.4463000004</v>
      </c>
      <c r="L10" s="37">
        <v>26068.862100000002</v>
      </c>
      <c r="M10" s="37">
        <v>8108.3172000000004</v>
      </c>
      <c r="N10" s="47">
        <f t="shared" si="1"/>
        <v>15295912.909189999</v>
      </c>
      <c r="O10" s="41">
        <v>742322.84532999923</v>
      </c>
      <c r="P10" s="51">
        <f t="shared" si="2"/>
        <v>16038235.754519999</v>
      </c>
      <c r="Q10" s="43"/>
      <c r="R10" s="43"/>
    </row>
    <row r="11" spans="1:18" ht="12.75" customHeight="1" x14ac:dyDescent="0.2">
      <c r="B11" s="44"/>
      <c r="C11" s="36">
        <v>5</v>
      </c>
      <c r="D11" s="38">
        <v>11736881.932289999</v>
      </c>
      <c r="E11" s="48">
        <v>525717.37461000006</v>
      </c>
      <c r="F11" s="48">
        <v>82687.769670000009</v>
      </c>
      <c r="G11" s="48">
        <v>106760.91754999997</v>
      </c>
      <c r="H11" s="38">
        <f t="shared" si="0"/>
        <v>715166.06183000002</v>
      </c>
      <c r="I11" s="48">
        <v>2454840.5758899995</v>
      </c>
      <c r="J11" s="48">
        <v>40186.443900000013</v>
      </c>
      <c r="K11" s="48">
        <v>1626885.9933999998</v>
      </c>
      <c r="L11" s="48">
        <v>12954.300499999999</v>
      </c>
      <c r="M11" s="37">
        <v>7152.5809999999992</v>
      </c>
      <c r="N11" s="47">
        <f t="shared" si="1"/>
        <v>16594067.888809998</v>
      </c>
      <c r="O11" s="41">
        <v>635061.55711000017</v>
      </c>
      <c r="P11" s="51">
        <f t="shared" si="2"/>
        <v>17229129.445919998</v>
      </c>
      <c r="Q11" s="43"/>
      <c r="R11" s="43"/>
    </row>
    <row r="12" spans="1:18" ht="12.75" customHeight="1" x14ac:dyDescent="0.2">
      <c r="B12" s="44"/>
      <c r="C12" s="36">
        <v>6</v>
      </c>
      <c r="D12" s="38">
        <v>12600721.451189997</v>
      </c>
      <c r="E12" s="38">
        <v>902903.43015000015</v>
      </c>
      <c r="F12" s="38">
        <v>124183.73436000002</v>
      </c>
      <c r="G12" s="38">
        <v>258009.53227</v>
      </c>
      <c r="H12" s="38">
        <f t="shared" si="0"/>
        <v>1285096.6967800001</v>
      </c>
      <c r="I12" s="37">
        <v>1263341.9756199997</v>
      </c>
      <c r="J12" s="37">
        <v>40444.935899999997</v>
      </c>
      <c r="K12" s="37">
        <v>1720170.7005999996</v>
      </c>
      <c r="L12" s="37">
        <v>26939.422099999996</v>
      </c>
      <c r="M12" s="37">
        <v>7328.433</v>
      </c>
      <c r="N12" s="47">
        <f t="shared" si="1"/>
        <v>16944043.615189996</v>
      </c>
      <c r="O12" s="97">
        <v>783198.14751600195</v>
      </c>
      <c r="P12" s="51">
        <f t="shared" si="2"/>
        <v>17727241.762705997</v>
      </c>
      <c r="Q12" s="43"/>
      <c r="R12" s="43"/>
    </row>
    <row r="13" spans="1:18" ht="12.75" customHeight="1" x14ac:dyDescent="0.2">
      <c r="B13" s="44"/>
      <c r="C13" s="36">
        <v>7</v>
      </c>
      <c r="D13" s="38">
        <v>12771582.147220001</v>
      </c>
      <c r="E13" s="38">
        <v>537775.28657</v>
      </c>
      <c r="F13" s="38">
        <v>73366.800679999986</v>
      </c>
      <c r="G13" s="38">
        <v>1191584.39001</v>
      </c>
      <c r="H13" s="38">
        <f t="shared" si="0"/>
        <v>1802726.4772600001</v>
      </c>
      <c r="I13" s="37">
        <v>2426638.7492399998</v>
      </c>
      <c r="J13" s="37">
        <v>37425.558199999992</v>
      </c>
      <c r="K13" s="37">
        <v>1906559.7084000001</v>
      </c>
      <c r="L13" s="37">
        <v>13782.071600000001</v>
      </c>
      <c r="M13" s="37">
        <v>11466.552099999999</v>
      </c>
      <c r="N13" s="47">
        <f t="shared" si="1"/>
        <v>18970181.26402</v>
      </c>
      <c r="O13" s="97">
        <v>979504.76807499968</v>
      </c>
      <c r="P13" s="51">
        <f t="shared" si="2"/>
        <v>19949686.032095</v>
      </c>
      <c r="Q13" s="43"/>
      <c r="R13" s="43"/>
    </row>
    <row r="14" spans="1:18" ht="12.75" customHeight="1" x14ac:dyDescent="0.2">
      <c r="B14" s="44"/>
      <c r="C14" s="36">
        <v>8</v>
      </c>
      <c r="D14" s="38">
        <v>13082657.090090003</v>
      </c>
      <c r="E14" s="38">
        <v>818010.96056999988</v>
      </c>
      <c r="F14" s="38">
        <v>110183.69628999999</v>
      </c>
      <c r="G14" s="38">
        <v>215204.91264000008</v>
      </c>
      <c r="H14" s="38">
        <f t="shared" si="0"/>
        <v>1143399.5695</v>
      </c>
      <c r="I14" s="37">
        <v>1166080.5461500001</v>
      </c>
      <c r="J14" s="37">
        <v>39686.635000000002</v>
      </c>
      <c r="K14" s="37">
        <v>1874398.9686</v>
      </c>
      <c r="L14" s="37">
        <v>24101.183899999993</v>
      </c>
      <c r="M14" s="37">
        <v>10029.197899999999</v>
      </c>
      <c r="N14" s="47">
        <f t="shared" si="1"/>
        <v>17340353.191140004</v>
      </c>
      <c r="O14" s="97">
        <v>831772.43088</v>
      </c>
      <c r="P14" s="51">
        <f t="shared" si="2"/>
        <v>18172125.622020002</v>
      </c>
      <c r="Q14" s="43"/>
      <c r="R14" s="43"/>
    </row>
    <row r="15" spans="1:18" ht="12.75" customHeight="1" x14ac:dyDescent="0.2">
      <c r="B15" s="44"/>
      <c r="C15" s="36">
        <v>9</v>
      </c>
      <c r="D15" s="38">
        <v>13809191.057770001</v>
      </c>
      <c r="E15" s="38">
        <v>393467.02856999997</v>
      </c>
      <c r="F15" s="38">
        <v>55535.278410000014</v>
      </c>
      <c r="G15" s="38">
        <v>79339.440749999994</v>
      </c>
      <c r="H15" s="38">
        <f t="shared" si="0"/>
        <v>528341.74772999994</v>
      </c>
      <c r="I15" s="37">
        <v>2415560.7761800005</v>
      </c>
      <c r="J15" s="37">
        <v>50130.994899999991</v>
      </c>
      <c r="K15" s="47">
        <v>2042789.6471000002</v>
      </c>
      <c r="L15" s="37">
        <v>9823.3814999999995</v>
      </c>
      <c r="M15" s="45">
        <v>11136.293900000002</v>
      </c>
      <c r="N15" s="47">
        <f t="shared" si="1"/>
        <v>18866973.899080001</v>
      </c>
      <c r="O15" s="97">
        <v>818004.06613000087</v>
      </c>
      <c r="P15" s="51">
        <f t="shared" si="2"/>
        <v>19684977.965210002</v>
      </c>
      <c r="R15" s="43"/>
    </row>
    <row r="16" spans="1:18" ht="12.75" customHeight="1" x14ac:dyDescent="0.2">
      <c r="B16" s="44"/>
      <c r="C16" s="36">
        <v>10</v>
      </c>
      <c r="D16" s="38">
        <v>13653335.147580003</v>
      </c>
      <c r="E16" s="38">
        <v>823584.34912999987</v>
      </c>
      <c r="F16" s="38">
        <v>41067.734680000001</v>
      </c>
      <c r="G16" s="38">
        <v>151846.48818000001</v>
      </c>
      <c r="H16" s="38">
        <f t="shared" si="0"/>
        <v>1016498.5719899999</v>
      </c>
      <c r="I16" s="37">
        <v>997953.21582000016</v>
      </c>
      <c r="J16" s="37">
        <v>43279.241699999999</v>
      </c>
      <c r="K16" s="37">
        <v>2010150.3526999997</v>
      </c>
      <c r="L16" s="37">
        <v>23048.551799999997</v>
      </c>
      <c r="M16" s="37">
        <v>13758.8724</v>
      </c>
      <c r="N16" s="47">
        <f t="shared" si="1"/>
        <v>17758023.953990005</v>
      </c>
      <c r="O16" s="41">
        <v>839732.27296999958</v>
      </c>
      <c r="P16" s="51">
        <f t="shared" si="2"/>
        <v>18597756.226960003</v>
      </c>
      <c r="Q16" s="43"/>
      <c r="R16" s="43"/>
    </row>
    <row r="17" spans="1:18" ht="12.75" customHeight="1" x14ac:dyDescent="0.2">
      <c r="B17" s="44"/>
      <c r="C17" s="36">
        <v>11</v>
      </c>
      <c r="D17" s="38">
        <v>14121111.1505</v>
      </c>
      <c r="E17" s="38">
        <v>458506.60261</v>
      </c>
      <c r="F17" s="38">
        <v>43030.876220000006</v>
      </c>
      <c r="G17" s="38">
        <v>1199645.48994</v>
      </c>
      <c r="H17" s="38">
        <f t="shared" si="0"/>
        <v>1701182.9687699999</v>
      </c>
      <c r="I17" s="37">
        <v>751701.03072000004</v>
      </c>
      <c r="J17" s="37">
        <v>58606.117999999995</v>
      </c>
      <c r="K17" s="37">
        <v>2015822.3591000002</v>
      </c>
      <c r="L17" s="37">
        <v>11320.999799999996</v>
      </c>
      <c r="M17" s="37">
        <v>11789.359899999999</v>
      </c>
      <c r="N17" s="47">
        <f t="shared" si="1"/>
        <v>18671533.986790001</v>
      </c>
      <c r="O17" s="73">
        <v>860680.43231000006</v>
      </c>
      <c r="P17" s="51">
        <f t="shared" si="2"/>
        <v>19532214.419100001</v>
      </c>
      <c r="Q17" s="43"/>
      <c r="R17" s="43"/>
    </row>
    <row r="18" spans="1:18" ht="12.75" customHeight="1" thickBot="1" x14ac:dyDescent="0.25">
      <c r="B18" s="44"/>
      <c r="C18" s="36">
        <v>12</v>
      </c>
      <c r="D18" s="38">
        <v>14446916.532569997</v>
      </c>
      <c r="E18" s="38">
        <v>197817.28767999998</v>
      </c>
      <c r="F18" s="38">
        <v>34981.901659999996</v>
      </c>
      <c r="G18" s="38">
        <v>209732.89528999999</v>
      </c>
      <c r="H18" s="38">
        <f t="shared" si="0"/>
        <v>442532.08462999994</v>
      </c>
      <c r="I18" s="37">
        <v>954009.54738999996</v>
      </c>
      <c r="J18" s="37">
        <v>87972.577099999995</v>
      </c>
      <c r="K18" s="37">
        <v>2096116.4073000001</v>
      </c>
      <c r="L18" s="37">
        <v>3858.0794000000005</v>
      </c>
      <c r="M18" s="37">
        <v>12345.896200000001</v>
      </c>
      <c r="N18" s="47">
        <f t="shared" si="1"/>
        <v>18043751.124589998</v>
      </c>
      <c r="O18" s="41">
        <v>783483.29818000109</v>
      </c>
      <c r="P18" s="51">
        <f t="shared" si="2"/>
        <v>18827234.422770001</v>
      </c>
      <c r="Q18" s="43"/>
      <c r="R18" s="43"/>
    </row>
    <row r="19" spans="1:18" thickBot="1" x14ac:dyDescent="0.25">
      <c r="A19" s="43"/>
      <c r="B19" s="217" t="s">
        <v>18</v>
      </c>
      <c r="C19" s="218"/>
      <c r="D19" s="152">
        <f t="shared" ref="D19:P19" si="3">SUM(D7:D18)</f>
        <v>151734125.82111001</v>
      </c>
      <c r="E19" s="152">
        <f t="shared" si="3"/>
        <v>8901094.1258400008</v>
      </c>
      <c r="F19" s="152">
        <f t="shared" si="3"/>
        <v>1090992.0755100001</v>
      </c>
      <c r="G19" s="152">
        <f t="shared" si="3"/>
        <v>4752209.7466500001</v>
      </c>
      <c r="H19" s="152">
        <f t="shared" si="3"/>
        <v>14744295.947999999</v>
      </c>
      <c r="I19" s="152">
        <f t="shared" si="3"/>
        <v>19723416.001749996</v>
      </c>
      <c r="J19" s="152">
        <f t="shared" si="3"/>
        <v>521103.29450000002</v>
      </c>
      <c r="K19" s="152">
        <f t="shared" si="3"/>
        <v>21517586.391799998</v>
      </c>
      <c r="L19" s="152">
        <f t="shared" si="3"/>
        <v>264020.67889999994</v>
      </c>
      <c r="M19" s="152">
        <f t="shared" si="3"/>
        <v>114292.97269999998</v>
      </c>
      <c r="N19" s="152">
        <f t="shared" si="3"/>
        <v>208618841.10876003</v>
      </c>
      <c r="O19" s="152">
        <f t="shared" si="3"/>
        <v>8565540.1404410042</v>
      </c>
      <c r="P19" s="152">
        <f t="shared" si="3"/>
        <v>217184381.24920097</v>
      </c>
      <c r="Q19" s="43"/>
    </row>
    <row r="20" spans="1:18" s="54" customFormat="1" ht="12.75" customHeight="1" x14ac:dyDescent="0.2">
      <c r="B20" s="21" t="s">
        <v>19</v>
      </c>
      <c r="C20" s="55"/>
      <c r="D20" s="56"/>
      <c r="E20" s="98"/>
      <c r="F20" s="57"/>
      <c r="P20" s="99"/>
    </row>
    <row r="21" spans="1:18" s="32" customFormat="1" ht="12.75" customHeight="1" x14ac:dyDescent="0.2">
      <c r="C21" s="21"/>
      <c r="D21" s="31"/>
      <c r="E21" s="58"/>
      <c r="F21" s="33"/>
    </row>
    <row r="22" spans="1:18" ht="12.75" customHeight="1" x14ac:dyDescent="0.2">
      <c r="C22" t="s">
        <v>0</v>
      </c>
      <c r="D22" s="43"/>
      <c r="E22" s="43"/>
      <c r="F22" s="43"/>
      <c r="G22" s="43"/>
      <c r="H22" s="43"/>
      <c r="I22" s="43"/>
      <c r="J22" s="43"/>
      <c r="K22" s="43"/>
      <c r="L22" s="43"/>
      <c r="M22" s="43"/>
      <c r="O22" s="43"/>
      <c r="P22" s="43"/>
    </row>
    <row r="23" spans="1:18" ht="12.75" customHeight="1" x14ac:dyDescent="0.2"/>
  </sheetData>
  <mergeCells count="10">
    <mergeCell ref="N5:N6"/>
    <mergeCell ref="O5:O6"/>
    <mergeCell ref="P5:P6"/>
    <mergeCell ref="B19:C19"/>
    <mergeCell ref="D5:D6"/>
    <mergeCell ref="I5:I6"/>
    <mergeCell ref="J5:J6"/>
    <mergeCell ref="K5:K6"/>
    <mergeCell ref="L5:L6"/>
    <mergeCell ref="M5:M6"/>
  </mergeCells>
  <conditionalFormatting sqref="E20 B19:C19 E19:P19 K9:O11 K7:P8 J12:O13 J10:J11 I7:J9 I10:I14 J14:P14 I15:P18 E12:H18 D7:H11 D12:D19 P9:P13">
    <cfRule type="cellIs" dxfId="25" priority="1" stopIfTrue="1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workbookViewId="0">
      <selection activeCell="J30" sqref="J30"/>
    </sheetView>
  </sheetViews>
  <sheetFormatPr baseColWidth="10" defaultRowHeight="13.5" customHeight="1" x14ac:dyDescent="0.2"/>
  <cols>
    <col min="1" max="1" width="6.140625" customWidth="1"/>
    <col min="2" max="2" width="7" customWidth="1"/>
    <col min="3" max="3" width="9.140625" customWidth="1"/>
    <col min="4" max="4" width="12.42578125" customWidth="1"/>
    <col min="5" max="5" width="11.42578125" bestFit="1" customWidth="1"/>
    <col min="6" max="6" width="7.85546875" bestFit="1" customWidth="1"/>
    <col min="7" max="8" width="9.140625" bestFit="1" customWidth="1"/>
    <col min="9" max="9" width="10.42578125" customWidth="1"/>
    <col min="10" max="10" width="14.42578125" customWidth="1"/>
    <col min="11" max="11" width="10.140625" bestFit="1" customWidth="1"/>
    <col min="12" max="12" width="9" customWidth="1"/>
    <col min="13" max="13" width="13" customWidth="1"/>
    <col min="15" max="15" width="12.42578125" customWidth="1"/>
    <col min="16" max="16" width="14.42578125" customWidth="1"/>
  </cols>
  <sheetData>
    <row r="1" spans="1:18" ht="12.75" customHeight="1" x14ac:dyDescent="0.2"/>
    <row r="2" spans="1:18" ht="12.75" customHeight="1" x14ac:dyDescent="0.2">
      <c r="B2" s="31"/>
      <c r="C2" s="31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3"/>
      <c r="P2" s="33"/>
    </row>
    <row r="3" spans="1:18" ht="12.75" customHeight="1" x14ac:dyDescent="0.2">
      <c r="A3" t="s">
        <v>0</v>
      </c>
      <c r="B3" s="1" t="s">
        <v>15</v>
      </c>
      <c r="C3" s="1"/>
      <c r="D3" s="11"/>
      <c r="E3" s="2"/>
      <c r="F3" s="2"/>
      <c r="G3" s="2"/>
      <c r="H3" s="2"/>
      <c r="I3" s="2"/>
      <c r="J3" s="2"/>
      <c r="K3" s="2"/>
      <c r="L3" s="2"/>
      <c r="M3" s="2"/>
      <c r="N3" s="2"/>
      <c r="O3" s="34"/>
      <c r="P3" s="3"/>
    </row>
    <row r="4" spans="1:18" ht="12.75" customHeight="1" thickBot="1" x14ac:dyDescent="0.25">
      <c r="B4" s="4" t="s">
        <v>39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35"/>
    </row>
    <row r="5" spans="1:18" ht="12.75" customHeight="1" x14ac:dyDescent="0.2">
      <c r="B5" s="146" t="s">
        <v>13</v>
      </c>
      <c r="C5" s="147"/>
      <c r="D5" s="236" t="s">
        <v>1</v>
      </c>
      <c r="E5" s="148" t="s">
        <v>3</v>
      </c>
      <c r="F5" s="148"/>
      <c r="G5" s="148"/>
      <c r="H5" s="148"/>
      <c r="I5" s="238" t="s">
        <v>4</v>
      </c>
      <c r="J5" s="240" t="s">
        <v>32</v>
      </c>
      <c r="K5" s="242" t="s">
        <v>5</v>
      </c>
      <c r="L5" s="244" t="s">
        <v>6</v>
      </c>
      <c r="M5" s="240" t="s">
        <v>16</v>
      </c>
      <c r="N5" s="230" t="s">
        <v>7</v>
      </c>
      <c r="O5" s="232" t="s">
        <v>8</v>
      </c>
      <c r="P5" s="234" t="s">
        <v>20</v>
      </c>
    </row>
    <row r="6" spans="1:18" ht="43.5" customHeight="1" thickBot="1" x14ac:dyDescent="0.25">
      <c r="B6" s="149" t="s">
        <v>14</v>
      </c>
      <c r="C6" s="150" t="s">
        <v>12</v>
      </c>
      <c r="D6" s="237"/>
      <c r="E6" s="151" t="s">
        <v>9</v>
      </c>
      <c r="F6" s="151" t="s">
        <v>10</v>
      </c>
      <c r="G6" s="151" t="s">
        <v>11</v>
      </c>
      <c r="H6" s="151" t="s">
        <v>2</v>
      </c>
      <c r="I6" s="239"/>
      <c r="J6" s="241"/>
      <c r="K6" s="243"/>
      <c r="L6" s="245"/>
      <c r="M6" s="246"/>
      <c r="N6" s="231"/>
      <c r="O6" s="233"/>
      <c r="P6" s="235"/>
    </row>
    <row r="7" spans="1:18" ht="12.75" customHeight="1" x14ac:dyDescent="0.2">
      <c r="B7" s="22">
        <v>2016</v>
      </c>
      <c r="C7" s="36">
        <v>1</v>
      </c>
      <c r="D7" s="38">
        <v>9063186.5413399991</v>
      </c>
      <c r="E7" s="38">
        <v>170283.30006000001</v>
      </c>
      <c r="F7" s="38">
        <v>15457.588119999999</v>
      </c>
      <c r="G7" s="38">
        <v>16797.17497</v>
      </c>
      <c r="H7" s="38">
        <f>+G7+F7+E7</f>
        <v>202538.06315</v>
      </c>
      <c r="I7" s="48">
        <v>2247913.8152400008</v>
      </c>
      <c r="J7" s="37">
        <v>34836.255000000005</v>
      </c>
      <c r="K7" s="37">
        <v>912549.35580000002</v>
      </c>
      <c r="L7" s="37">
        <v>7935.7819999999992</v>
      </c>
      <c r="M7" s="37">
        <v>2644.0039999999999</v>
      </c>
      <c r="N7" s="47">
        <f>+M7+L7+K7++J7+I7+H7+D7</f>
        <v>12471603.81653</v>
      </c>
      <c r="O7" s="41">
        <v>484861.27265999996</v>
      </c>
      <c r="P7" s="51">
        <f>+O7+N7</f>
        <v>12956465.089190001</v>
      </c>
      <c r="Q7" s="43"/>
      <c r="R7" s="43"/>
    </row>
    <row r="8" spans="1:18" ht="12.75" customHeight="1" x14ac:dyDescent="0.2">
      <c r="B8" s="44"/>
      <c r="C8" s="36">
        <v>2</v>
      </c>
      <c r="D8" s="38">
        <v>8153336.9337599985</v>
      </c>
      <c r="E8" s="38">
        <v>1611623.0697899999</v>
      </c>
      <c r="F8" s="38">
        <v>183314.02617</v>
      </c>
      <c r="G8" s="38">
        <v>40033.935019999997</v>
      </c>
      <c r="H8" s="38">
        <f t="shared" ref="H8:H18" si="0">+G8+F8+E8</f>
        <v>1834971.0309799998</v>
      </c>
      <c r="I8" s="48">
        <v>516199.88849999994</v>
      </c>
      <c r="J8" s="37">
        <v>20652.089199999999</v>
      </c>
      <c r="K8" s="37">
        <v>781002.26060000004</v>
      </c>
      <c r="L8" s="37">
        <v>80206.368000000002</v>
      </c>
      <c r="M8" s="37">
        <v>2987.0638000000004</v>
      </c>
      <c r="N8" s="47">
        <f t="shared" ref="N8:N18" si="1">+M8+L8+K8++J8+I8+H8+D8</f>
        <v>11389355.634839999</v>
      </c>
      <c r="O8" s="45">
        <v>410944.89031000074</v>
      </c>
      <c r="P8" s="51">
        <f t="shared" ref="P8:P18" si="2">+O8+N8</f>
        <v>11800300.525149999</v>
      </c>
      <c r="Q8" s="43"/>
      <c r="R8" s="43"/>
    </row>
    <row r="9" spans="1:18" ht="12.75" customHeight="1" x14ac:dyDescent="0.2">
      <c r="B9" s="44"/>
      <c r="C9" s="36">
        <v>3</v>
      </c>
      <c r="D9" s="38">
        <v>8512659.7945099995</v>
      </c>
      <c r="E9" s="38">
        <v>366120.54815000005</v>
      </c>
      <c r="F9" s="38">
        <v>36732.593020000008</v>
      </c>
      <c r="G9" s="38">
        <v>793922.45751000009</v>
      </c>
      <c r="H9" s="38">
        <f t="shared" si="0"/>
        <v>1196775.5986800003</v>
      </c>
      <c r="I9" s="37">
        <v>1627918.6550200002</v>
      </c>
      <c r="J9" s="37">
        <v>22906.159400000004</v>
      </c>
      <c r="K9" s="37">
        <v>871567.49399999995</v>
      </c>
      <c r="L9" s="37">
        <v>84660.931199999963</v>
      </c>
      <c r="M9" s="47">
        <v>3331.4937999999997</v>
      </c>
      <c r="N9" s="47">
        <f t="shared" si="1"/>
        <v>12319820.12661</v>
      </c>
      <c r="O9" s="49">
        <v>679822.48031600018</v>
      </c>
      <c r="P9" s="51">
        <f t="shared" si="2"/>
        <v>12999642.606926</v>
      </c>
      <c r="R9" s="43"/>
    </row>
    <row r="10" spans="1:18" ht="12.75" customHeight="1" x14ac:dyDescent="0.2">
      <c r="B10" s="44"/>
      <c r="C10" s="36">
        <v>4</v>
      </c>
      <c r="D10" s="38">
        <v>9642398.1120100021</v>
      </c>
      <c r="E10" s="38">
        <v>597336.85999000014</v>
      </c>
      <c r="F10" s="38">
        <v>75173.08097000001</v>
      </c>
      <c r="G10" s="38">
        <v>116953.66970000003</v>
      </c>
      <c r="H10" s="38">
        <f t="shared" si="0"/>
        <v>789463.61066000024</v>
      </c>
      <c r="I10" s="37">
        <v>559488.96787000005</v>
      </c>
      <c r="J10" s="37">
        <v>26892.719700000005</v>
      </c>
      <c r="K10" s="37">
        <v>1041424.8532000002</v>
      </c>
      <c r="L10" s="37">
        <v>30466.855799999998</v>
      </c>
      <c r="M10" s="37">
        <v>3638.4119000000005</v>
      </c>
      <c r="N10" s="47">
        <f t="shared" si="1"/>
        <v>12093773.531140003</v>
      </c>
      <c r="O10" s="41">
        <v>878750.60623999953</v>
      </c>
      <c r="P10" s="51">
        <f t="shared" si="2"/>
        <v>12972524.137380002</v>
      </c>
      <c r="Q10" s="43"/>
      <c r="R10" s="43"/>
    </row>
    <row r="11" spans="1:18" ht="12.75" customHeight="1" x14ac:dyDescent="0.2">
      <c r="B11" s="44"/>
      <c r="C11" s="36">
        <v>5</v>
      </c>
      <c r="D11" s="38">
        <v>9432622.4505100027</v>
      </c>
      <c r="E11" s="48">
        <v>249769.22244999997</v>
      </c>
      <c r="F11" s="48">
        <v>37097.388389999993</v>
      </c>
      <c r="G11" s="48">
        <v>49459.700270000001</v>
      </c>
      <c r="H11" s="38">
        <f t="shared" si="0"/>
        <v>336326.31110999995</v>
      </c>
      <c r="I11" s="48">
        <v>1564423.2981100001</v>
      </c>
      <c r="J11" s="37">
        <v>31114.530200000005</v>
      </c>
      <c r="K11" s="37">
        <v>996641.23660000018</v>
      </c>
      <c r="L11" s="37">
        <v>8079.5758999999989</v>
      </c>
      <c r="M11" s="37">
        <v>6497.8773000000001</v>
      </c>
      <c r="N11" s="47">
        <f t="shared" si="1"/>
        <v>12375705.279730003</v>
      </c>
      <c r="O11" s="41">
        <v>907419.56962200021</v>
      </c>
      <c r="P11" s="51">
        <f t="shared" si="2"/>
        <v>13283124.849352004</v>
      </c>
      <c r="Q11" s="43"/>
      <c r="R11" s="43"/>
    </row>
    <row r="12" spans="1:18" ht="12.75" customHeight="1" x14ac:dyDescent="0.2">
      <c r="B12" s="44"/>
      <c r="C12" s="36">
        <v>6</v>
      </c>
      <c r="D12" s="38">
        <v>9439957.4748800024</v>
      </c>
      <c r="E12" s="38">
        <v>500830.47569000005</v>
      </c>
      <c r="F12" s="38">
        <v>69930.214669999987</v>
      </c>
      <c r="G12" s="38">
        <v>72094.371920000005</v>
      </c>
      <c r="H12" s="38">
        <f t="shared" si="0"/>
        <v>642855.06228000007</v>
      </c>
      <c r="I12" s="37">
        <v>594619.13310999994</v>
      </c>
      <c r="J12" s="37">
        <v>23068.843500000003</v>
      </c>
      <c r="K12" s="37">
        <v>1060946.1487000003</v>
      </c>
      <c r="L12" s="37">
        <v>17269.363399999998</v>
      </c>
      <c r="M12" s="37">
        <v>5304.7820000000002</v>
      </c>
      <c r="N12" s="47">
        <f t="shared" si="1"/>
        <v>11784020.807870002</v>
      </c>
      <c r="O12" s="97">
        <v>798642.61206999922</v>
      </c>
      <c r="P12" s="51">
        <f t="shared" si="2"/>
        <v>12582663.419940002</v>
      </c>
      <c r="Q12" s="43"/>
      <c r="R12" s="43"/>
    </row>
    <row r="13" spans="1:18" ht="12.75" customHeight="1" x14ac:dyDescent="0.2">
      <c r="B13" s="44"/>
      <c r="C13" s="36">
        <v>7</v>
      </c>
      <c r="D13" s="38">
        <v>9786369.1680999994</v>
      </c>
      <c r="E13" s="38">
        <v>320822.51696000004</v>
      </c>
      <c r="F13" s="38">
        <v>45846.720569999998</v>
      </c>
      <c r="G13" s="38">
        <v>808682.77691999986</v>
      </c>
      <c r="H13" s="38">
        <f t="shared" si="0"/>
        <v>1175352.0144499999</v>
      </c>
      <c r="I13" s="37">
        <v>1710006.1831100001</v>
      </c>
      <c r="J13" s="37">
        <v>33465.17609999999</v>
      </c>
      <c r="K13" s="37">
        <v>1097741.4078000002</v>
      </c>
      <c r="L13" s="37">
        <v>8790.2376999999979</v>
      </c>
      <c r="M13" s="37">
        <v>4115.9268000000002</v>
      </c>
      <c r="N13" s="47">
        <f t="shared" si="1"/>
        <v>13815840.11406</v>
      </c>
      <c r="O13" s="97">
        <v>382751.34365999827</v>
      </c>
      <c r="P13" s="51">
        <f t="shared" si="2"/>
        <v>14198591.457719998</v>
      </c>
      <c r="Q13" s="43"/>
      <c r="R13" s="43"/>
    </row>
    <row r="14" spans="1:18" ht="12.75" customHeight="1" x14ac:dyDescent="0.2">
      <c r="B14" s="44"/>
      <c r="C14" s="36">
        <v>8</v>
      </c>
      <c r="D14" s="38">
        <v>9439247.4134299997</v>
      </c>
      <c r="E14" s="38">
        <v>593041.41672999994</v>
      </c>
      <c r="F14" s="38">
        <v>76845.031300000002</v>
      </c>
      <c r="G14" s="38">
        <v>139148.26017999998</v>
      </c>
      <c r="H14" s="38">
        <f t="shared" si="0"/>
        <v>809034.70820999995</v>
      </c>
      <c r="I14" s="37">
        <v>758099.68815000006</v>
      </c>
      <c r="J14" s="37">
        <v>25516.578399999995</v>
      </c>
      <c r="K14" s="47">
        <v>1132495.9468999999</v>
      </c>
      <c r="L14" s="37">
        <v>18698.602800000001</v>
      </c>
      <c r="M14" s="45">
        <v>4080.3855000000003</v>
      </c>
      <c r="N14" s="47">
        <f t="shared" si="1"/>
        <v>12187173.32339</v>
      </c>
      <c r="O14" s="97">
        <v>375750.15443</v>
      </c>
      <c r="P14" s="51">
        <f t="shared" si="2"/>
        <v>12562923.47782</v>
      </c>
      <c r="R14" s="43"/>
    </row>
    <row r="15" spans="1:18" ht="12.75" customHeight="1" x14ac:dyDescent="0.2">
      <c r="B15" s="44"/>
      <c r="C15" s="36">
        <v>9</v>
      </c>
      <c r="D15" s="38">
        <v>10154822.856280001</v>
      </c>
      <c r="E15" s="38">
        <v>289894.32432999997</v>
      </c>
      <c r="F15" s="38">
        <v>40003.101629999997</v>
      </c>
      <c r="G15" s="38">
        <v>54671.852189999998</v>
      </c>
      <c r="H15" s="38">
        <f t="shared" si="0"/>
        <v>384569.27814999997</v>
      </c>
      <c r="I15" s="37">
        <v>1716961.5983999998</v>
      </c>
      <c r="J15" s="37">
        <v>34159.007999999994</v>
      </c>
      <c r="K15" s="37">
        <v>1175426.6089000001</v>
      </c>
      <c r="L15" s="37">
        <v>7413.2553000000007</v>
      </c>
      <c r="M15" s="37">
        <v>5205.5847999999978</v>
      </c>
      <c r="N15" s="47">
        <f t="shared" si="1"/>
        <v>13478558.189830001</v>
      </c>
      <c r="O15" s="41">
        <v>361037.35053499974</v>
      </c>
      <c r="P15" s="51">
        <f t="shared" si="2"/>
        <v>13839595.540365001</v>
      </c>
      <c r="Q15" s="43"/>
      <c r="R15" s="43"/>
    </row>
    <row r="16" spans="1:18" ht="12.75" customHeight="1" x14ac:dyDescent="0.2">
      <c r="B16" s="44"/>
      <c r="C16" s="36">
        <v>10</v>
      </c>
      <c r="D16" s="38">
        <v>10036067.757619999</v>
      </c>
      <c r="E16" s="38">
        <v>532744.06058000005</v>
      </c>
      <c r="F16" s="38">
        <v>28588.565559999992</v>
      </c>
      <c r="G16" s="38">
        <v>88294.530079999982</v>
      </c>
      <c r="H16" s="38">
        <f t="shared" si="0"/>
        <v>649627.15622</v>
      </c>
      <c r="I16" s="37">
        <v>584772.2083800002</v>
      </c>
      <c r="J16" s="37">
        <v>30346.296300000002</v>
      </c>
      <c r="K16" s="37">
        <v>1271779.5429000005</v>
      </c>
      <c r="L16" s="37">
        <v>16172.837600000003</v>
      </c>
      <c r="M16" s="37">
        <v>5392.5143999999991</v>
      </c>
      <c r="N16" s="47">
        <f t="shared" si="1"/>
        <v>12594158.31342</v>
      </c>
      <c r="O16" s="73">
        <v>355061.47288000042</v>
      </c>
      <c r="P16" s="51">
        <f t="shared" si="2"/>
        <v>12949219.7863</v>
      </c>
      <c r="Q16" s="43"/>
      <c r="R16" s="43"/>
    </row>
    <row r="17" spans="1:18" ht="12.75" customHeight="1" x14ac:dyDescent="0.2">
      <c r="B17" s="44"/>
      <c r="C17" s="36">
        <v>11</v>
      </c>
      <c r="D17" s="38">
        <v>10585939.467539998</v>
      </c>
      <c r="E17" s="38">
        <v>324892.91490999993</v>
      </c>
      <c r="F17" s="38">
        <v>33173.148439999997</v>
      </c>
      <c r="G17" s="38">
        <v>815918.64994000003</v>
      </c>
      <c r="H17" s="38">
        <f t="shared" si="0"/>
        <v>1173984.7132899999</v>
      </c>
      <c r="I17" s="37">
        <v>468468.28685999993</v>
      </c>
      <c r="J17" s="37">
        <v>57691.219400000002</v>
      </c>
      <c r="K17" s="37">
        <v>1259086.8083999997</v>
      </c>
      <c r="L17" s="37">
        <v>7963.5902000000006</v>
      </c>
      <c r="M17" s="37">
        <v>6236.8366000000005</v>
      </c>
      <c r="N17" s="47">
        <f t="shared" si="1"/>
        <v>13559370.922289997</v>
      </c>
      <c r="O17" s="41">
        <v>426534.11212000099</v>
      </c>
      <c r="P17" s="51">
        <f t="shared" si="2"/>
        <v>13985905.034409998</v>
      </c>
      <c r="Q17" s="43"/>
      <c r="R17" s="43"/>
    </row>
    <row r="18" spans="1:18" thickBot="1" x14ac:dyDescent="0.25">
      <c r="B18" s="44"/>
      <c r="C18" s="36">
        <v>12</v>
      </c>
      <c r="D18" s="38">
        <v>10987754.727010002</v>
      </c>
      <c r="E18" s="38">
        <v>141331.60883000001</v>
      </c>
      <c r="F18" s="38">
        <v>26922.534140000003</v>
      </c>
      <c r="G18" s="38">
        <v>129968.38994999997</v>
      </c>
      <c r="H18" s="38">
        <f t="shared" si="0"/>
        <v>298222.53292000003</v>
      </c>
      <c r="I18" s="37">
        <v>891790.3876299999</v>
      </c>
      <c r="J18" s="37">
        <v>69958.276400000017</v>
      </c>
      <c r="K18" s="37">
        <v>1311359.8792999997</v>
      </c>
      <c r="L18" s="37">
        <v>2896.9962000000005</v>
      </c>
      <c r="M18" s="37">
        <v>6971.027799999998</v>
      </c>
      <c r="N18" s="47">
        <f t="shared" si="1"/>
        <v>13568953.827260002</v>
      </c>
      <c r="O18" s="41">
        <v>381825.40064000001</v>
      </c>
      <c r="P18" s="51">
        <f t="shared" si="2"/>
        <v>13950779.227900002</v>
      </c>
      <c r="Q18" s="43"/>
      <c r="R18" s="43"/>
    </row>
    <row r="19" spans="1:18" thickBot="1" x14ac:dyDescent="0.25">
      <c r="A19" s="43"/>
      <c r="B19" s="217" t="s">
        <v>18</v>
      </c>
      <c r="C19" s="218"/>
      <c r="D19" s="152">
        <f>SUM(D7:D18)</f>
        <v>115234362.69699</v>
      </c>
      <c r="E19" s="152">
        <f t="shared" ref="E19:P19" si="3">SUM(E7:E18)</f>
        <v>5698690.3184700012</v>
      </c>
      <c r="F19" s="152">
        <f t="shared" si="3"/>
        <v>669083.9929800001</v>
      </c>
      <c r="G19" s="152">
        <f t="shared" si="3"/>
        <v>3125945.7686499995</v>
      </c>
      <c r="H19" s="152">
        <f t="shared" si="3"/>
        <v>9493720.080099998</v>
      </c>
      <c r="I19" s="152">
        <f t="shared" si="3"/>
        <v>13240662.110380003</v>
      </c>
      <c r="J19" s="152">
        <f t="shared" si="3"/>
        <v>410607.15160000004</v>
      </c>
      <c r="K19" s="152">
        <f t="shared" si="3"/>
        <v>12912021.543100001</v>
      </c>
      <c r="L19" s="152">
        <f t="shared" si="3"/>
        <v>290554.39609999995</v>
      </c>
      <c r="M19" s="152">
        <f t="shared" si="3"/>
        <v>56405.9087</v>
      </c>
      <c r="N19" s="152">
        <f t="shared" si="3"/>
        <v>151638333.88696998</v>
      </c>
      <c r="O19" s="152">
        <f t="shared" si="3"/>
        <v>6443401.2654829985</v>
      </c>
      <c r="P19" s="152">
        <f t="shared" si="3"/>
        <v>158081735.15245298</v>
      </c>
      <c r="Q19" s="43"/>
    </row>
    <row r="20" spans="1:18" s="54" customFormat="1" ht="12.75" customHeight="1" x14ac:dyDescent="0.2">
      <c r="B20" s="21" t="s">
        <v>19</v>
      </c>
      <c r="C20" s="55"/>
      <c r="D20" s="56"/>
      <c r="E20" s="98"/>
      <c r="F20" s="57"/>
      <c r="P20" s="99"/>
    </row>
    <row r="21" spans="1:18" s="32" customFormat="1" ht="12.75" customHeight="1" x14ac:dyDescent="0.2">
      <c r="C21" s="21"/>
      <c r="D21" s="31"/>
      <c r="E21" s="58"/>
      <c r="F21" s="33"/>
    </row>
    <row r="22" spans="1:18" ht="12.75" customHeight="1" x14ac:dyDescent="0.2">
      <c r="C22" t="s">
        <v>0</v>
      </c>
      <c r="D22" s="43"/>
      <c r="E22" s="43"/>
      <c r="F22" s="43"/>
      <c r="G22" s="43"/>
      <c r="H22" s="43"/>
      <c r="I22" s="43"/>
      <c r="J22" s="43"/>
      <c r="K22" s="43"/>
      <c r="L22" s="43"/>
      <c r="M22" s="43"/>
      <c r="O22" s="43"/>
      <c r="P22" s="43"/>
    </row>
    <row r="23" spans="1:18" ht="12.75" customHeight="1" x14ac:dyDescent="0.2"/>
  </sheetData>
  <mergeCells count="10">
    <mergeCell ref="N5:N6"/>
    <mergeCell ref="O5:O6"/>
    <mergeCell ref="P5:P6"/>
    <mergeCell ref="B19:C19"/>
    <mergeCell ref="D5:D6"/>
    <mergeCell ref="I5:I6"/>
    <mergeCell ref="J5:J6"/>
    <mergeCell ref="K5:K6"/>
    <mergeCell ref="L5:L6"/>
    <mergeCell ref="M5:M6"/>
  </mergeCells>
  <conditionalFormatting sqref="K9:O11 K7:P8 J10:J11 E20 B19:C19 E19:P19 P9:P13 I7:J9 I10:I13 J12:O13 E12:H18 D7:H11 D12:D19 I14:P18">
    <cfRule type="cellIs" dxfId="24" priority="1" stopIfTrue="1" operator="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workbookViewId="0">
      <selection activeCell="J30" sqref="J30"/>
    </sheetView>
  </sheetViews>
  <sheetFormatPr baseColWidth="10" defaultRowHeight="13.5" customHeight="1" x14ac:dyDescent="0.2"/>
  <cols>
    <col min="1" max="1" width="6.140625" customWidth="1"/>
    <col min="2" max="2" width="7" customWidth="1"/>
    <col min="3" max="3" width="7.85546875" customWidth="1"/>
    <col min="4" max="4" width="14.42578125" customWidth="1"/>
    <col min="5" max="5" width="11.42578125" bestFit="1" customWidth="1"/>
    <col min="6" max="6" width="7.85546875" bestFit="1" customWidth="1"/>
    <col min="7" max="9" width="9.140625" bestFit="1" customWidth="1"/>
    <col min="10" max="10" width="14.42578125" customWidth="1"/>
    <col min="11" max="11" width="9.140625" bestFit="1" customWidth="1"/>
    <col min="12" max="12" width="9" customWidth="1"/>
    <col min="13" max="13" width="13" customWidth="1"/>
    <col min="15" max="15" width="12.42578125" customWidth="1"/>
    <col min="16" max="16" width="14.42578125" customWidth="1"/>
  </cols>
  <sheetData>
    <row r="1" spans="1:18" ht="12.75" customHeight="1" x14ac:dyDescent="0.2"/>
    <row r="2" spans="1:18" ht="12.75" customHeight="1" x14ac:dyDescent="0.2">
      <c r="B2" s="31"/>
      <c r="C2" s="31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3"/>
      <c r="P2" s="33"/>
    </row>
    <row r="3" spans="1:18" ht="12.75" customHeight="1" x14ac:dyDescent="0.2">
      <c r="A3" t="s">
        <v>0</v>
      </c>
      <c r="B3" s="1" t="s">
        <v>15</v>
      </c>
      <c r="C3" s="1"/>
      <c r="D3" s="11"/>
      <c r="E3" s="2"/>
      <c r="F3" s="2"/>
      <c r="G3" s="2"/>
      <c r="H3" s="2"/>
      <c r="I3" s="2"/>
      <c r="J3" s="2"/>
      <c r="K3" s="2"/>
      <c r="L3" s="2"/>
      <c r="M3" s="2"/>
      <c r="N3" s="2"/>
      <c r="O3" s="34"/>
      <c r="P3" s="3"/>
    </row>
    <row r="4" spans="1:18" ht="12.75" customHeight="1" thickBot="1" x14ac:dyDescent="0.25">
      <c r="B4" s="4" t="s">
        <v>38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35"/>
    </row>
    <row r="5" spans="1:18" s="100" customFormat="1" ht="12.75" customHeight="1" x14ac:dyDescent="0.2">
      <c r="B5" s="137" t="s">
        <v>13</v>
      </c>
      <c r="C5" s="138"/>
      <c r="D5" s="236" t="s">
        <v>1</v>
      </c>
      <c r="E5" s="139" t="s">
        <v>3</v>
      </c>
      <c r="F5" s="139"/>
      <c r="G5" s="139"/>
      <c r="H5" s="139"/>
      <c r="I5" s="238" t="s">
        <v>4</v>
      </c>
      <c r="J5" s="240" t="s">
        <v>32</v>
      </c>
      <c r="K5" s="242" t="s">
        <v>5</v>
      </c>
      <c r="L5" s="244" t="s">
        <v>6</v>
      </c>
      <c r="M5" s="240" t="s">
        <v>16</v>
      </c>
      <c r="N5" s="230" t="s">
        <v>7</v>
      </c>
      <c r="O5" s="232" t="s">
        <v>8</v>
      </c>
      <c r="P5" s="234" t="s">
        <v>20</v>
      </c>
    </row>
    <row r="6" spans="1:18" s="100" customFormat="1" ht="43.5" customHeight="1" thickBot="1" x14ac:dyDescent="0.25">
      <c r="B6" s="140" t="s">
        <v>14</v>
      </c>
      <c r="C6" s="141" t="s">
        <v>12</v>
      </c>
      <c r="D6" s="237"/>
      <c r="E6" s="143" t="s">
        <v>9</v>
      </c>
      <c r="F6" s="143" t="s">
        <v>10</v>
      </c>
      <c r="G6" s="143" t="s">
        <v>11</v>
      </c>
      <c r="H6" s="143" t="s">
        <v>2</v>
      </c>
      <c r="I6" s="239"/>
      <c r="J6" s="241"/>
      <c r="K6" s="243"/>
      <c r="L6" s="245"/>
      <c r="M6" s="246"/>
      <c r="N6" s="231"/>
      <c r="O6" s="233"/>
      <c r="P6" s="235"/>
    </row>
    <row r="7" spans="1:18" ht="12.75" customHeight="1" x14ac:dyDescent="0.2">
      <c r="B7" s="22">
        <v>2015</v>
      </c>
      <c r="C7" s="36">
        <v>1</v>
      </c>
      <c r="D7" s="38">
        <v>7090676.492338649</v>
      </c>
      <c r="E7" s="38">
        <v>235613.89781499677</v>
      </c>
      <c r="F7" s="38">
        <v>14052.459581765637</v>
      </c>
      <c r="G7" s="38">
        <v>13760.086361141875</v>
      </c>
      <c r="H7" s="38">
        <v>263426.44375790429</v>
      </c>
      <c r="I7" s="37">
        <v>1659335.4017274051</v>
      </c>
      <c r="J7" s="37">
        <v>22580.966907066624</v>
      </c>
      <c r="K7" s="37">
        <v>641795.27149498474</v>
      </c>
      <c r="L7" s="37">
        <v>10846.015612807416</v>
      </c>
      <c r="M7" s="37">
        <v>2244.9582826569676</v>
      </c>
      <c r="N7" s="47">
        <v>9690905.550121475</v>
      </c>
      <c r="O7" s="41">
        <v>407028.58374241472</v>
      </c>
      <c r="P7" s="51">
        <v>10097934.133863891</v>
      </c>
      <c r="Q7" s="43"/>
      <c r="R7" s="43"/>
    </row>
    <row r="8" spans="1:18" ht="12.75" customHeight="1" x14ac:dyDescent="0.2">
      <c r="B8" s="44"/>
      <c r="C8" s="36">
        <v>2</v>
      </c>
      <c r="D8" s="38">
        <v>6011578.7023130823</v>
      </c>
      <c r="E8" s="38">
        <v>1171764.6108523489</v>
      </c>
      <c r="F8" s="38">
        <v>138586.62545452808</v>
      </c>
      <c r="G8" s="38">
        <v>51203.784747453057</v>
      </c>
      <c r="H8" s="38">
        <v>1361555.0210543298</v>
      </c>
      <c r="I8" s="37">
        <v>435322.94998134789</v>
      </c>
      <c r="J8" s="37">
        <v>7250.7107928395271</v>
      </c>
      <c r="K8" s="37">
        <v>604904.04015686957</v>
      </c>
      <c r="L8" s="37">
        <v>49972.202456269937</v>
      </c>
      <c r="M8" s="37">
        <v>2474.5664081722498</v>
      </c>
      <c r="N8" s="47">
        <v>8473058.1931629106</v>
      </c>
      <c r="O8" s="45">
        <v>503429.79127439274</v>
      </c>
      <c r="P8" s="51">
        <v>8976487.9844373036</v>
      </c>
      <c r="Q8" s="43"/>
      <c r="R8" s="43"/>
    </row>
    <row r="9" spans="1:18" ht="12.75" customHeight="1" x14ac:dyDescent="0.2">
      <c r="B9" s="44"/>
      <c r="C9" s="36">
        <v>3</v>
      </c>
      <c r="D9" s="38">
        <v>6140070.7719135936</v>
      </c>
      <c r="E9" s="38">
        <v>228302.00667732256</v>
      </c>
      <c r="F9" s="38">
        <v>39586.028852090822</v>
      </c>
      <c r="G9" s="38">
        <v>491230.33737191604</v>
      </c>
      <c r="H9" s="38">
        <v>759118.37290132942</v>
      </c>
      <c r="I9" s="37">
        <v>1138516.5724861394</v>
      </c>
      <c r="J9" s="37">
        <v>13340.13145174738</v>
      </c>
      <c r="K9" s="37">
        <v>646338.17662543443</v>
      </c>
      <c r="L9" s="37">
        <v>32284.404323457857</v>
      </c>
      <c r="M9" s="47">
        <v>2433.9982923641801</v>
      </c>
      <c r="N9" s="47">
        <v>8732102.427994065</v>
      </c>
      <c r="O9" s="49">
        <v>402983.27949471324</v>
      </c>
      <c r="P9" s="51">
        <v>9135085.707488779</v>
      </c>
      <c r="R9" s="43"/>
    </row>
    <row r="10" spans="1:18" ht="12.75" customHeight="1" x14ac:dyDescent="0.2">
      <c r="B10" s="44"/>
      <c r="C10" s="36">
        <v>4</v>
      </c>
      <c r="D10" s="38">
        <v>6851634.4245000007</v>
      </c>
      <c r="E10" s="38">
        <v>485473.16000000003</v>
      </c>
      <c r="F10" s="38">
        <v>59553.3704</v>
      </c>
      <c r="G10" s="38">
        <v>144830.86749999999</v>
      </c>
      <c r="H10" s="38">
        <v>689857.39789999998</v>
      </c>
      <c r="I10" s="37">
        <v>361440.29060000001</v>
      </c>
      <c r="J10" s="37">
        <v>18849.128199999999</v>
      </c>
      <c r="K10" s="37">
        <v>686769.50450000004</v>
      </c>
      <c r="L10" s="37">
        <v>23865.323299999993</v>
      </c>
      <c r="M10" s="37">
        <v>2559.9945000000002</v>
      </c>
      <c r="N10" s="47">
        <v>8634976.0635000002</v>
      </c>
      <c r="O10" s="41">
        <v>386328.57280000008</v>
      </c>
      <c r="P10" s="51">
        <v>9021304.6362999994</v>
      </c>
      <c r="Q10" s="43"/>
      <c r="R10" s="43"/>
    </row>
    <row r="11" spans="1:18" ht="12.75" customHeight="1" x14ac:dyDescent="0.2">
      <c r="B11" s="44"/>
      <c r="C11" s="36">
        <v>5</v>
      </c>
      <c r="D11" s="38">
        <v>7029943.1661299989</v>
      </c>
      <c r="E11" s="48">
        <v>169314.31760000007</v>
      </c>
      <c r="F11" s="48">
        <v>29189.131800000003</v>
      </c>
      <c r="G11" s="48">
        <v>116470.05889999999</v>
      </c>
      <c r="H11" s="38">
        <v>314973.50830000004</v>
      </c>
      <c r="I11" s="37">
        <v>1085697.2504</v>
      </c>
      <c r="J11" s="37">
        <v>19849.750800000002</v>
      </c>
      <c r="K11" s="37">
        <v>750421.25559999992</v>
      </c>
      <c r="L11" s="37">
        <v>10050.017500000004</v>
      </c>
      <c r="M11" s="37">
        <v>2528.2557999999999</v>
      </c>
      <c r="N11" s="37">
        <v>9213463.2045299988</v>
      </c>
      <c r="O11" s="41">
        <v>404382.91280000011</v>
      </c>
      <c r="P11" s="51">
        <v>9617846.1173299998</v>
      </c>
      <c r="Q11" s="43"/>
      <c r="R11" s="43"/>
    </row>
    <row r="12" spans="1:18" ht="12.75" customHeight="1" x14ac:dyDescent="0.2">
      <c r="B12" s="44"/>
      <c r="C12" s="36">
        <v>6</v>
      </c>
      <c r="D12" s="38">
        <v>7088142.4233799987</v>
      </c>
      <c r="E12" s="38">
        <v>427989.75709999987</v>
      </c>
      <c r="F12" s="38">
        <v>58995.376400000001</v>
      </c>
      <c r="G12" s="38">
        <v>86104.702399999995</v>
      </c>
      <c r="H12" s="38">
        <v>573089.83589999983</v>
      </c>
      <c r="I12" s="37">
        <v>509571.62300000002</v>
      </c>
      <c r="J12" s="37">
        <v>43533.566400000003</v>
      </c>
      <c r="K12" s="37">
        <v>747047.54949999996</v>
      </c>
      <c r="L12" s="37">
        <v>19145.825000000004</v>
      </c>
      <c r="M12" s="37">
        <v>2506.3534000000004</v>
      </c>
      <c r="N12" s="37">
        <v>8983037.1765799988</v>
      </c>
      <c r="O12" s="97">
        <v>459059.43640000006</v>
      </c>
      <c r="P12" s="51">
        <v>9442096.6129799988</v>
      </c>
      <c r="Q12" s="43"/>
      <c r="R12" s="43"/>
    </row>
    <row r="13" spans="1:18" ht="12.75" customHeight="1" x14ac:dyDescent="0.2">
      <c r="B13" s="44"/>
      <c r="C13" s="36">
        <v>7</v>
      </c>
      <c r="D13" s="38">
        <v>7621454.7047600001</v>
      </c>
      <c r="E13" s="38">
        <v>221918.29715999999</v>
      </c>
      <c r="F13" s="38">
        <v>31708.130460000008</v>
      </c>
      <c r="G13" s="38">
        <v>503965.05636000005</v>
      </c>
      <c r="H13" s="38">
        <v>757591.48398000002</v>
      </c>
      <c r="I13" s="37">
        <v>1170933.77177</v>
      </c>
      <c r="J13" s="37">
        <v>78801.085200000001</v>
      </c>
      <c r="K13" s="37">
        <v>804677.2746</v>
      </c>
      <c r="L13" s="37">
        <v>13030.420900000006</v>
      </c>
      <c r="M13" s="37">
        <v>2399.6097999999997</v>
      </c>
      <c r="N13" s="37">
        <v>10448888.35101</v>
      </c>
      <c r="O13" s="97">
        <v>426287.91804999945</v>
      </c>
      <c r="P13" s="51">
        <v>10875176.269059999</v>
      </c>
      <c r="Q13" s="43"/>
      <c r="R13" s="43"/>
    </row>
    <row r="14" spans="1:18" ht="12.75" customHeight="1" x14ac:dyDescent="0.2">
      <c r="B14" s="44"/>
      <c r="C14" s="36">
        <v>8</v>
      </c>
      <c r="D14" s="38">
        <v>7685518.908499999</v>
      </c>
      <c r="E14" s="38">
        <v>381740.29504000006</v>
      </c>
      <c r="F14" s="38">
        <v>43348.210669999986</v>
      </c>
      <c r="G14" s="38">
        <v>71037.985970000009</v>
      </c>
      <c r="H14" s="38">
        <v>496126.49168000009</v>
      </c>
      <c r="I14" s="37">
        <v>274245.51958999992</v>
      </c>
      <c r="J14" s="37">
        <v>68366.38</v>
      </c>
      <c r="K14" s="37">
        <v>895510.90220000013</v>
      </c>
      <c r="L14" s="37">
        <v>16414.271400000001</v>
      </c>
      <c r="M14" s="47">
        <v>2325.269499999999</v>
      </c>
      <c r="N14" s="37">
        <v>9438507.7428699993</v>
      </c>
      <c r="O14" s="45">
        <v>515610.20133000246</v>
      </c>
      <c r="P14" s="51">
        <v>9954117.9442000017</v>
      </c>
      <c r="R14" s="43"/>
    </row>
    <row r="15" spans="1:18" ht="12.75" customHeight="1" x14ac:dyDescent="0.2">
      <c r="B15" s="44"/>
      <c r="C15" s="36">
        <v>9</v>
      </c>
      <c r="D15" s="38">
        <v>7605391.4496000018</v>
      </c>
      <c r="E15" s="38">
        <v>114783.25176</v>
      </c>
      <c r="F15" s="38">
        <v>13433.960030000002</v>
      </c>
      <c r="G15" s="38">
        <v>93015.436549999999</v>
      </c>
      <c r="H15" s="38">
        <v>221232.64834000001</v>
      </c>
      <c r="I15" s="37">
        <v>1038491.97511</v>
      </c>
      <c r="J15" s="37">
        <v>38425.435099999995</v>
      </c>
      <c r="K15" s="37">
        <v>823114.10229999991</v>
      </c>
      <c r="L15" s="37">
        <v>7856.2369999999946</v>
      </c>
      <c r="M15" s="37">
        <v>2459.1285999999996</v>
      </c>
      <c r="N15" s="37">
        <v>9736970.9760500006</v>
      </c>
      <c r="O15" s="41">
        <v>624721.17985000031</v>
      </c>
      <c r="P15" s="51">
        <v>10361692.155900002</v>
      </c>
      <c r="Q15" s="43"/>
      <c r="R15" s="43"/>
    </row>
    <row r="16" spans="1:18" ht="12.75" customHeight="1" x14ac:dyDescent="0.2">
      <c r="B16" s="44"/>
      <c r="C16" s="36">
        <v>10</v>
      </c>
      <c r="D16" s="38">
        <v>8004455.3772700019</v>
      </c>
      <c r="E16" s="38">
        <v>268776.66768999997</v>
      </c>
      <c r="F16" s="38">
        <v>7443.1504800000002</v>
      </c>
      <c r="G16" s="38">
        <v>103979.36112000002</v>
      </c>
      <c r="H16" s="38">
        <v>380199.17929</v>
      </c>
      <c r="I16" s="37">
        <v>281174.03518000001</v>
      </c>
      <c r="J16" s="37">
        <v>31584.053599999999</v>
      </c>
      <c r="K16" s="37">
        <v>841356.98939999996</v>
      </c>
      <c r="L16" s="37">
        <v>11061.483000000013</v>
      </c>
      <c r="M16" s="37">
        <v>2497.2023999999997</v>
      </c>
      <c r="N16" s="37">
        <v>9552328.3201400023</v>
      </c>
      <c r="O16" s="73">
        <v>548991.70662999991</v>
      </c>
      <c r="P16" s="51">
        <v>10101320.026770003</v>
      </c>
      <c r="Q16" s="43"/>
      <c r="R16" s="43"/>
    </row>
    <row r="17" spans="1:18" ht="12.75" customHeight="1" x14ac:dyDescent="0.2">
      <c r="B17" s="44"/>
      <c r="C17" s="36">
        <v>11</v>
      </c>
      <c r="D17" s="38">
        <v>7875353.8403499993</v>
      </c>
      <c r="E17" s="38">
        <v>133694.38454999999</v>
      </c>
      <c r="F17" s="38">
        <v>6927.04835</v>
      </c>
      <c r="G17" s="38">
        <v>377618.82063000009</v>
      </c>
      <c r="H17" s="38">
        <v>518240.2535300001</v>
      </c>
      <c r="I17" s="37">
        <v>146460.19360999999</v>
      </c>
      <c r="J17" s="37">
        <v>34493.949800000002</v>
      </c>
      <c r="K17" s="37">
        <v>900160.48400000017</v>
      </c>
      <c r="L17" s="37">
        <v>8090.6722999999947</v>
      </c>
      <c r="M17" s="37">
        <v>2490.9557999999997</v>
      </c>
      <c r="N17" s="37">
        <v>9485290.3493900001</v>
      </c>
      <c r="O17" s="41">
        <v>420813.28489000001</v>
      </c>
      <c r="P17" s="51">
        <v>9906103.6342799999</v>
      </c>
      <c r="Q17" s="43"/>
      <c r="R17" s="43"/>
    </row>
    <row r="18" spans="1:18" ht="12.75" customHeight="1" thickBot="1" x14ac:dyDescent="0.25">
      <c r="B18" s="44"/>
      <c r="C18" s="36">
        <v>12</v>
      </c>
      <c r="D18" s="38">
        <v>8512865.7622899972</v>
      </c>
      <c r="E18" s="38">
        <v>54046.667759999989</v>
      </c>
      <c r="F18" s="38">
        <v>6877.1749500000005</v>
      </c>
      <c r="G18" s="38">
        <v>60160.588830000001</v>
      </c>
      <c r="H18" s="38">
        <v>121084.43153999999</v>
      </c>
      <c r="I18" s="37">
        <v>301382.39175999997</v>
      </c>
      <c r="J18" s="37">
        <v>49698.606899999999</v>
      </c>
      <c r="K18" s="37">
        <v>991808.58629999973</v>
      </c>
      <c r="L18" s="37">
        <v>3909.4503</v>
      </c>
      <c r="M18" s="37">
        <v>2617.5542</v>
      </c>
      <c r="N18" s="37">
        <v>9983366.7832899969</v>
      </c>
      <c r="O18" s="41">
        <v>434792.64730999991</v>
      </c>
      <c r="P18" s="51">
        <v>10418159.430599997</v>
      </c>
      <c r="Q18" s="43"/>
      <c r="R18" s="43"/>
    </row>
    <row r="19" spans="1:18" thickBot="1" x14ac:dyDescent="0.25">
      <c r="A19" s="43"/>
      <c r="B19" s="217" t="s">
        <v>18</v>
      </c>
      <c r="C19" s="218"/>
      <c r="D19" s="152">
        <v>87517086.023345336</v>
      </c>
      <c r="E19" s="152">
        <v>3893417.314004669</v>
      </c>
      <c r="F19" s="152">
        <v>449700.66742838459</v>
      </c>
      <c r="G19" s="152">
        <v>2113377.086740511</v>
      </c>
      <c r="H19" s="152">
        <v>6456495.0681735631</v>
      </c>
      <c r="I19" s="152">
        <v>8402571.9752148911</v>
      </c>
      <c r="J19" s="152">
        <v>426773.76515165356</v>
      </c>
      <c r="K19" s="152">
        <v>9333904.1366772894</v>
      </c>
      <c r="L19" s="152">
        <v>206526.3230925352</v>
      </c>
      <c r="M19" s="152">
        <v>29537.846983193391</v>
      </c>
      <c r="N19" s="152">
        <v>112372895.13863845</v>
      </c>
      <c r="O19" s="152">
        <v>5534429.5145715233</v>
      </c>
      <c r="P19" s="152">
        <v>117907324.65320997</v>
      </c>
      <c r="Q19" s="43"/>
    </row>
    <row r="20" spans="1:18" s="54" customFormat="1" ht="12.75" customHeight="1" x14ac:dyDescent="0.2">
      <c r="B20" s="21" t="s">
        <v>19</v>
      </c>
      <c r="C20" s="55"/>
      <c r="D20" s="56"/>
      <c r="E20" s="98"/>
      <c r="F20" s="57"/>
      <c r="P20" s="99"/>
    </row>
    <row r="21" spans="1:18" s="32" customFormat="1" ht="12.75" customHeight="1" x14ac:dyDescent="0.2">
      <c r="C21" s="21"/>
      <c r="D21" s="31"/>
      <c r="E21" s="58"/>
      <c r="F21" s="33"/>
    </row>
    <row r="22" spans="1:18" ht="12.75" customHeight="1" x14ac:dyDescent="0.2">
      <c r="C22" t="s">
        <v>0</v>
      </c>
    </row>
    <row r="23" spans="1:18" ht="12.75" customHeight="1" x14ac:dyDescent="0.2"/>
  </sheetData>
  <mergeCells count="10">
    <mergeCell ref="D5:D6"/>
    <mergeCell ref="O5:O6"/>
    <mergeCell ref="P5:P6"/>
    <mergeCell ref="B19:C19"/>
    <mergeCell ref="I5:I6"/>
    <mergeCell ref="J5:J6"/>
    <mergeCell ref="K5:K6"/>
    <mergeCell ref="L5:L6"/>
    <mergeCell ref="M5:M6"/>
    <mergeCell ref="N5:N6"/>
  </mergeCells>
  <conditionalFormatting sqref="K9:O11 K7:P8 J12:O12 P9:P12 J7:J11 J13:P19 E20 B19:C19 D7:I19">
    <cfRule type="cellIs" dxfId="23" priority="31" stopIfTrue="1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workbookViewId="0">
      <selection activeCell="J30" sqref="J30"/>
    </sheetView>
  </sheetViews>
  <sheetFormatPr baseColWidth="10" defaultRowHeight="13.5" customHeight="1" x14ac:dyDescent="0.2"/>
  <cols>
    <col min="1" max="1" width="6.140625" customWidth="1"/>
    <col min="2" max="2" width="7" customWidth="1"/>
    <col min="3" max="3" width="7.85546875" customWidth="1"/>
    <col min="4" max="4" width="14.42578125" customWidth="1"/>
    <col min="5" max="5" width="11.42578125" bestFit="1" customWidth="1"/>
    <col min="6" max="6" width="7.85546875" bestFit="1" customWidth="1"/>
    <col min="7" max="9" width="9.140625" bestFit="1" customWidth="1"/>
    <col min="10" max="10" width="14.42578125" customWidth="1"/>
    <col min="11" max="11" width="9.140625" bestFit="1" customWidth="1"/>
    <col min="12" max="12" width="9" customWidth="1"/>
    <col min="13" max="13" width="13" customWidth="1"/>
    <col min="15" max="15" width="12.42578125" customWidth="1"/>
    <col min="16" max="16" width="14.42578125" customWidth="1"/>
  </cols>
  <sheetData>
    <row r="1" spans="1:18" ht="12.75" customHeight="1" x14ac:dyDescent="0.2"/>
    <row r="2" spans="1:18" ht="12.75" customHeight="1" x14ac:dyDescent="0.2">
      <c r="B2" s="31"/>
      <c r="C2" s="31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80"/>
      <c r="P2" s="80"/>
    </row>
    <row r="3" spans="1:18" ht="12.75" customHeight="1" x14ac:dyDescent="0.2">
      <c r="A3" t="s">
        <v>0</v>
      </c>
      <c r="B3" s="1" t="s">
        <v>15</v>
      </c>
      <c r="C3" s="1"/>
      <c r="D3" s="11"/>
      <c r="E3" s="2"/>
      <c r="F3" s="2"/>
      <c r="G3" s="2"/>
      <c r="H3" s="2"/>
      <c r="I3" s="2"/>
      <c r="J3" s="2"/>
      <c r="K3" s="2"/>
      <c r="L3" s="2"/>
      <c r="M3" s="2"/>
      <c r="N3" s="2"/>
      <c r="O3" s="81"/>
      <c r="P3" s="3"/>
    </row>
    <row r="4" spans="1:18" ht="12.75" customHeight="1" thickBot="1" x14ac:dyDescent="0.25">
      <c r="B4" s="4" t="s">
        <v>37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82"/>
    </row>
    <row r="5" spans="1:18" s="100" customFormat="1" ht="12.75" customHeight="1" x14ac:dyDescent="0.2">
      <c r="B5" s="137" t="s">
        <v>13</v>
      </c>
      <c r="C5" s="138"/>
      <c r="D5" s="236" t="s">
        <v>1</v>
      </c>
      <c r="E5" s="139" t="s">
        <v>3</v>
      </c>
      <c r="F5" s="139"/>
      <c r="G5" s="139"/>
      <c r="H5" s="139"/>
      <c r="I5" s="249" t="s">
        <v>4</v>
      </c>
      <c r="J5" s="251" t="s">
        <v>32</v>
      </c>
      <c r="K5" s="253" t="s">
        <v>5</v>
      </c>
      <c r="L5" s="255" t="s">
        <v>6</v>
      </c>
      <c r="M5" s="251" t="s">
        <v>16</v>
      </c>
      <c r="N5" s="230" t="s">
        <v>7</v>
      </c>
      <c r="O5" s="247" t="s">
        <v>8</v>
      </c>
      <c r="P5" s="234" t="s">
        <v>20</v>
      </c>
    </row>
    <row r="6" spans="1:18" s="100" customFormat="1" ht="43.5" customHeight="1" thickBot="1" x14ac:dyDescent="0.25">
      <c r="B6" s="140" t="s">
        <v>14</v>
      </c>
      <c r="C6" s="141" t="s">
        <v>12</v>
      </c>
      <c r="D6" s="237"/>
      <c r="E6" s="145" t="s">
        <v>9</v>
      </c>
      <c r="F6" s="145" t="s">
        <v>10</v>
      </c>
      <c r="G6" s="145" t="s">
        <v>11</v>
      </c>
      <c r="H6" s="145" t="s">
        <v>2</v>
      </c>
      <c r="I6" s="250"/>
      <c r="J6" s="252"/>
      <c r="K6" s="254"/>
      <c r="L6" s="256"/>
      <c r="M6" s="257"/>
      <c r="N6" s="231"/>
      <c r="O6" s="248"/>
      <c r="P6" s="235"/>
    </row>
    <row r="7" spans="1:18" ht="12.75" customHeight="1" x14ac:dyDescent="0.2">
      <c r="B7" s="22">
        <v>2014</v>
      </c>
      <c r="C7" s="83">
        <v>1</v>
      </c>
      <c r="D7" s="84">
        <v>5389138.8218853818</v>
      </c>
      <c r="E7" s="84">
        <v>193895.37902182492</v>
      </c>
      <c r="F7" s="84">
        <v>12787.925880577939</v>
      </c>
      <c r="G7" s="84">
        <v>18355.681793529657</v>
      </c>
      <c r="H7" s="84">
        <v>225038.98669593252</v>
      </c>
      <c r="I7" s="85">
        <v>1234904.7476155066</v>
      </c>
      <c r="J7" s="85">
        <v>18249.771436313167</v>
      </c>
      <c r="K7" s="85">
        <v>579836.86548635049</v>
      </c>
      <c r="L7" s="85">
        <v>7050.7194115739549</v>
      </c>
      <c r="M7" s="85">
        <v>1964.7886149734259</v>
      </c>
      <c r="N7" s="86">
        <v>7456184.7011460317</v>
      </c>
      <c r="O7" s="87">
        <v>152359.70666974038</v>
      </c>
      <c r="P7" s="88">
        <v>7608544.4078157721</v>
      </c>
      <c r="Q7" s="43"/>
      <c r="R7" s="43"/>
    </row>
    <row r="8" spans="1:18" ht="12.75" customHeight="1" x14ac:dyDescent="0.2">
      <c r="B8" s="89"/>
      <c r="C8" s="83">
        <v>2</v>
      </c>
      <c r="D8" s="84">
        <v>5028588.9665081492</v>
      </c>
      <c r="E8" s="84">
        <v>899746.94947100698</v>
      </c>
      <c r="F8" s="84">
        <v>10539.602512466081</v>
      </c>
      <c r="G8" s="84">
        <v>35782.732927967794</v>
      </c>
      <c r="H8" s="84">
        <v>946069.28491144092</v>
      </c>
      <c r="I8" s="37">
        <v>256111.45443341939</v>
      </c>
      <c r="J8" s="37">
        <v>6674.4207042101771</v>
      </c>
      <c r="K8" s="37">
        <v>476683.70514316368</v>
      </c>
      <c r="L8" s="85">
        <v>34628.744840150524</v>
      </c>
      <c r="M8" s="85">
        <v>2099.6268272234011</v>
      </c>
      <c r="N8" s="86">
        <v>6750856.2033677576</v>
      </c>
      <c r="O8" s="90">
        <v>132163.56820450246</v>
      </c>
      <c r="P8" s="88">
        <v>6883019.7715722602</v>
      </c>
      <c r="Q8" s="43"/>
      <c r="R8" s="43"/>
    </row>
    <row r="9" spans="1:18" ht="12.75" customHeight="1" x14ac:dyDescent="0.2">
      <c r="B9" s="89"/>
      <c r="C9" s="83">
        <v>3</v>
      </c>
      <c r="D9" s="84">
        <v>4683883.5505300509</v>
      </c>
      <c r="E9" s="84">
        <v>146266.59836510319</v>
      </c>
      <c r="F9" s="84">
        <v>26894.647955553955</v>
      </c>
      <c r="G9" s="84">
        <v>422634.57910804881</v>
      </c>
      <c r="H9" s="84">
        <v>595795.8254287059</v>
      </c>
      <c r="I9" s="37">
        <v>110179.39215928677</v>
      </c>
      <c r="J9" s="37">
        <v>8201.1403427973855</v>
      </c>
      <c r="K9" s="37">
        <v>435241.11539374944</v>
      </c>
      <c r="L9" s="85">
        <v>5451.303504967771</v>
      </c>
      <c r="M9" s="86">
        <v>2076.3265771716833</v>
      </c>
      <c r="N9" s="86">
        <v>5840828.6539367298</v>
      </c>
      <c r="O9" s="91">
        <v>215138.32488647371</v>
      </c>
      <c r="P9" s="88">
        <v>6055966.9788232036</v>
      </c>
      <c r="R9" s="43"/>
    </row>
    <row r="10" spans="1:18" ht="12.75" customHeight="1" x14ac:dyDescent="0.2">
      <c r="B10" s="89"/>
      <c r="C10" s="83">
        <v>4</v>
      </c>
      <c r="D10" s="84">
        <v>5190096.8888236899</v>
      </c>
      <c r="E10" s="84">
        <v>69981.192306147015</v>
      </c>
      <c r="F10" s="84">
        <v>103216.22544845898</v>
      </c>
      <c r="G10" s="84">
        <v>115720.85587585391</v>
      </c>
      <c r="H10" s="84">
        <v>288918.27363045991</v>
      </c>
      <c r="I10" s="37">
        <v>142173.83063142828</v>
      </c>
      <c r="J10" s="37">
        <v>9915.5839281994849</v>
      </c>
      <c r="K10" s="85">
        <v>436317.27274014195</v>
      </c>
      <c r="L10" s="85">
        <v>4170.2450038443785</v>
      </c>
      <c r="M10" s="85">
        <v>2496.0772946029902</v>
      </c>
      <c r="N10" s="86">
        <v>6074088.1720523667</v>
      </c>
      <c r="O10" s="87">
        <v>273490.60498426936</v>
      </c>
      <c r="P10" s="88">
        <v>6347578.7770366361</v>
      </c>
      <c r="Q10" s="43"/>
      <c r="R10" s="43"/>
    </row>
    <row r="11" spans="1:18" ht="12.75" customHeight="1" x14ac:dyDescent="0.2">
      <c r="B11" s="89"/>
      <c r="C11" s="83">
        <v>5</v>
      </c>
      <c r="D11" s="84">
        <v>5378339.6653570263</v>
      </c>
      <c r="E11" s="84">
        <v>62981.98148388516</v>
      </c>
      <c r="F11" s="84">
        <v>23190.807388668036</v>
      </c>
      <c r="G11" s="84">
        <v>26526.35919893987</v>
      </c>
      <c r="H11" s="84">
        <v>112699.14807149307</v>
      </c>
      <c r="I11" s="85">
        <v>724282.98758089286</v>
      </c>
      <c r="J11" s="85">
        <v>7007.3715505632572</v>
      </c>
      <c r="K11" s="85">
        <v>449048.96489950328</v>
      </c>
      <c r="L11" s="85">
        <v>2372.7902083793865</v>
      </c>
      <c r="M11" s="85">
        <v>2197.8393119648099</v>
      </c>
      <c r="N11" s="85">
        <v>6675948.7669798229</v>
      </c>
      <c r="O11" s="87">
        <v>347086.80485726875</v>
      </c>
      <c r="P11" s="88">
        <v>7023035.5718370918</v>
      </c>
      <c r="Q11" s="43"/>
      <c r="R11" s="43"/>
    </row>
    <row r="12" spans="1:18" ht="12.75" customHeight="1" x14ac:dyDescent="0.2">
      <c r="B12" s="89"/>
      <c r="C12" s="83">
        <v>6</v>
      </c>
      <c r="D12" s="84">
        <v>5462929.3386971019</v>
      </c>
      <c r="E12" s="84">
        <v>364507.47080525797</v>
      </c>
      <c r="F12" s="84">
        <v>44357.622054997541</v>
      </c>
      <c r="G12" s="84">
        <v>27018.533750608156</v>
      </c>
      <c r="H12" s="84">
        <v>435883.62661086366</v>
      </c>
      <c r="I12" s="85">
        <v>191291.89680897631</v>
      </c>
      <c r="J12" s="85">
        <v>13481.905116717331</v>
      </c>
      <c r="K12" s="85">
        <v>545096.39015397034</v>
      </c>
      <c r="L12" s="85">
        <v>13675.778115631489</v>
      </c>
      <c r="M12" s="85">
        <v>2161.1970700621605</v>
      </c>
      <c r="N12" s="85">
        <v>6664520.1325733233</v>
      </c>
      <c r="O12" s="92">
        <v>588433.85492160846</v>
      </c>
      <c r="P12" s="88">
        <v>7252953.9874949316</v>
      </c>
      <c r="Q12" s="43"/>
      <c r="R12" s="43"/>
    </row>
    <row r="13" spans="1:18" ht="12.75" customHeight="1" x14ac:dyDescent="0.2">
      <c r="B13" s="89"/>
      <c r="C13" s="83">
        <v>7</v>
      </c>
      <c r="D13" s="84">
        <v>5540101.0845933668</v>
      </c>
      <c r="E13" s="84">
        <v>173163.81016002584</v>
      </c>
      <c r="F13" s="84">
        <v>27483.468100283993</v>
      </c>
      <c r="G13" s="84">
        <v>514339.58930266049</v>
      </c>
      <c r="H13" s="84">
        <v>714986.86756297038</v>
      </c>
      <c r="I13" s="85">
        <v>785558.39740753302</v>
      </c>
      <c r="J13" s="85">
        <v>16471.647816210054</v>
      </c>
      <c r="K13" s="85">
        <v>550861.63878272159</v>
      </c>
      <c r="L13" s="85">
        <v>6291.0684109891881</v>
      </c>
      <c r="M13" s="85">
        <v>2082.9810167402029</v>
      </c>
      <c r="N13" s="85">
        <v>7616353.6855905317</v>
      </c>
      <c r="O13" s="90">
        <v>560802.02921863482</v>
      </c>
      <c r="P13" s="88">
        <v>8177155.7148091663</v>
      </c>
      <c r="Q13" s="43"/>
      <c r="R13" s="43"/>
    </row>
    <row r="14" spans="1:18" ht="12.75" customHeight="1" x14ac:dyDescent="0.2">
      <c r="B14" s="89"/>
      <c r="C14" s="83">
        <v>8</v>
      </c>
      <c r="D14" s="84">
        <v>5856714.5010048179</v>
      </c>
      <c r="E14" s="84">
        <v>323769.64403367264</v>
      </c>
      <c r="F14" s="84">
        <v>43900.778824578563</v>
      </c>
      <c r="G14" s="84">
        <v>61179.87472298363</v>
      </c>
      <c r="H14" s="84">
        <v>428850.29758123483</v>
      </c>
      <c r="I14" s="85">
        <v>236374.8784738984</v>
      </c>
      <c r="J14" s="85">
        <v>13484.33561950922</v>
      </c>
      <c r="K14" s="85">
        <v>573966.97257778142</v>
      </c>
      <c r="L14" s="85">
        <v>12381.897218959522</v>
      </c>
      <c r="M14" s="86">
        <v>2161.6679015345871</v>
      </c>
      <c r="N14" s="85">
        <v>7123934.5503777359</v>
      </c>
      <c r="O14" s="90">
        <v>268515.43754267902</v>
      </c>
      <c r="P14" s="88">
        <v>7392449.9879204147</v>
      </c>
      <c r="R14" s="43"/>
    </row>
    <row r="15" spans="1:18" ht="12.75" customHeight="1" x14ac:dyDescent="0.2">
      <c r="B15" s="89"/>
      <c r="C15" s="83">
        <v>9</v>
      </c>
      <c r="D15" s="84">
        <v>5905431.31613978</v>
      </c>
      <c r="E15" s="84">
        <v>137496.06773984217</v>
      </c>
      <c r="F15" s="84">
        <v>24509.222405361244</v>
      </c>
      <c r="G15" s="84">
        <v>23557.651203366404</v>
      </c>
      <c r="H15" s="84">
        <v>185562.94134856982</v>
      </c>
      <c r="I15" s="85">
        <v>773278.88476205408</v>
      </c>
      <c r="J15" s="85">
        <v>17424.561185807455</v>
      </c>
      <c r="K15" s="85">
        <v>580365.13620329381</v>
      </c>
      <c r="L15" s="85">
        <v>5976.0648052491015</v>
      </c>
      <c r="M15" s="85">
        <v>2179.0644101798534</v>
      </c>
      <c r="N15" s="85">
        <v>7470217.968854934</v>
      </c>
      <c r="O15" s="87">
        <v>310998.62893390219</v>
      </c>
      <c r="P15" s="88">
        <v>7781216.5977888359</v>
      </c>
      <c r="Q15" s="43"/>
      <c r="R15" s="43"/>
    </row>
    <row r="16" spans="1:18" ht="12.75" customHeight="1" x14ac:dyDescent="0.2">
      <c r="B16" s="89"/>
      <c r="C16" s="83">
        <v>10</v>
      </c>
      <c r="D16" s="84">
        <v>6215114.2859267108</v>
      </c>
      <c r="E16" s="84">
        <v>345377.39342671318</v>
      </c>
      <c r="F16" s="84">
        <v>43035.538640416868</v>
      </c>
      <c r="G16" s="84">
        <v>100717.68628072995</v>
      </c>
      <c r="H16" s="84">
        <v>489130.61834786</v>
      </c>
      <c r="I16" s="85">
        <v>211087.45904029603</v>
      </c>
      <c r="J16" s="85">
        <v>18978.72302098386</v>
      </c>
      <c r="K16" s="37">
        <v>573372.57488777942</v>
      </c>
      <c r="L16" s="37">
        <v>13351.355415955826</v>
      </c>
      <c r="M16" s="37">
        <v>2084.3639064282179</v>
      </c>
      <c r="N16" s="85">
        <v>7523119.3805460138</v>
      </c>
      <c r="O16" s="73">
        <v>395108.10377687711</v>
      </c>
      <c r="P16" s="88">
        <v>7918227.4843228906</v>
      </c>
      <c r="Q16" s="43"/>
      <c r="R16" s="43"/>
    </row>
    <row r="17" spans="1:18" ht="12.75" customHeight="1" x14ac:dyDescent="0.2">
      <c r="B17" s="89"/>
      <c r="C17" s="83">
        <v>11</v>
      </c>
      <c r="D17" s="84">
        <v>6373315.9561875165</v>
      </c>
      <c r="E17" s="84">
        <v>111215.76324359694</v>
      </c>
      <c r="F17" s="84">
        <v>16352.540316655999</v>
      </c>
      <c r="G17" s="84">
        <v>407048.70053778525</v>
      </c>
      <c r="H17" s="84">
        <v>534617.00409803819</v>
      </c>
      <c r="I17" s="37">
        <v>716716.37810864521</v>
      </c>
      <c r="J17" s="37">
        <v>20453.938754509203</v>
      </c>
      <c r="K17" s="85">
        <v>608265.54910549312</v>
      </c>
      <c r="L17" s="85">
        <v>4913.6474054685095</v>
      </c>
      <c r="M17" s="85">
        <v>2132.8048889152706</v>
      </c>
      <c r="N17" s="85">
        <v>8260415.2785485853</v>
      </c>
      <c r="O17" s="41">
        <v>341152.89626631956</v>
      </c>
      <c r="P17" s="88">
        <v>8601568.1748149041</v>
      </c>
      <c r="Q17" s="43"/>
      <c r="R17" s="43"/>
    </row>
    <row r="18" spans="1:18" ht="12.75" customHeight="1" thickBot="1" x14ac:dyDescent="0.25">
      <c r="B18" s="89"/>
      <c r="C18" s="83">
        <v>12</v>
      </c>
      <c r="D18" s="84">
        <v>6108626.3909395272</v>
      </c>
      <c r="E18" s="84">
        <v>286698.67284041503</v>
      </c>
      <c r="F18" s="84">
        <v>11190.724799538264</v>
      </c>
      <c r="G18" s="84">
        <v>49871.747128408053</v>
      </c>
      <c r="H18" s="84">
        <v>347761.14476836135</v>
      </c>
      <c r="I18" s="37">
        <v>235701.58199988614</v>
      </c>
      <c r="J18" s="37">
        <v>30241.367500135209</v>
      </c>
      <c r="K18" s="85">
        <v>588187.78600967489</v>
      </c>
      <c r="L18" s="85">
        <v>11171.957916393585</v>
      </c>
      <c r="M18" s="85">
        <v>2062.7693055868149</v>
      </c>
      <c r="N18" s="85">
        <v>7323752.9984395653</v>
      </c>
      <c r="O18" s="87">
        <v>365653.44794632052</v>
      </c>
      <c r="P18" s="88">
        <v>7689406.4463858856</v>
      </c>
      <c r="Q18" s="43"/>
      <c r="R18" s="43"/>
    </row>
    <row r="19" spans="1:18" thickBot="1" x14ac:dyDescent="0.25">
      <c r="A19" s="43"/>
      <c r="B19" s="217" t="s">
        <v>18</v>
      </c>
      <c r="C19" s="218"/>
      <c r="D19" s="152">
        <v>67132280.766593114</v>
      </c>
      <c r="E19" s="152">
        <v>3115100.9228974907</v>
      </c>
      <c r="F19" s="152">
        <v>387459.10432755743</v>
      </c>
      <c r="G19" s="152">
        <v>1802753.9918308822</v>
      </c>
      <c r="H19" s="152">
        <v>5305314.0190559309</v>
      </c>
      <c r="I19" s="152">
        <v>5617661.8890218232</v>
      </c>
      <c r="J19" s="152">
        <v>180584.7669759558</v>
      </c>
      <c r="K19" s="152">
        <v>6397243.9713836238</v>
      </c>
      <c r="L19" s="152">
        <v>121435.57225756324</v>
      </c>
      <c r="M19" s="152">
        <v>25699.507125383418</v>
      </c>
      <c r="N19" s="152">
        <v>84780220.492413387</v>
      </c>
      <c r="O19" s="152">
        <v>3950903.4082085965</v>
      </c>
      <c r="P19" s="152">
        <v>88731123.90062201</v>
      </c>
      <c r="Q19" s="43"/>
    </row>
    <row r="20" spans="1:18" s="93" customFormat="1" ht="12.75" customHeight="1" x14ac:dyDescent="0.2">
      <c r="B20" s="21" t="s">
        <v>19</v>
      </c>
      <c r="C20" s="55"/>
      <c r="D20" s="56"/>
      <c r="E20" s="94"/>
      <c r="F20" s="57"/>
      <c r="P20" s="95"/>
    </row>
    <row r="21" spans="1:18" s="79" customFormat="1" ht="12.75" customHeight="1" x14ac:dyDescent="0.2">
      <c r="C21" s="21"/>
      <c r="D21" s="31"/>
      <c r="E21" s="96"/>
      <c r="F21" s="80"/>
    </row>
    <row r="22" spans="1:18" ht="12.75" customHeight="1" x14ac:dyDescent="0.2"/>
    <row r="23" spans="1:18" ht="12.75" customHeight="1" x14ac:dyDescent="0.2"/>
  </sheetData>
  <mergeCells count="10">
    <mergeCell ref="D5:D6"/>
    <mergeCell ref="O5:O6"/>
    <mergeCell ref="P5:P6"/>
    <mergeCell ref="B19:C19"/>
    <mergeCell ref="I5:I6"/>
    <mergeCell ref="J5:J6"/>
    <mergeCell ref="K5:K6"/>
    <mergeCell ref="L5:L6"/>
    <mergeCell ref="M5:M6"/>
    <mergeCell ref="N5:N6"/>
  </mergeCells>
  <conditionalFormatting sqref="K9:O11 K7:P8 J12:O12 P9:P12 J7:J11 J13:P19 E20 B19:C19 D7:I19">
    <cfRule type="cellIs" dxfId="22" priority="26" stopIfTrue="1" operator="equal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workbookViewId="0">
      <selection activeCell="J30" sqref="J30"/>
    </sheetView>
  </sheetViews>
  <sheetFormatPr baseColWidth="10" defaultRowHeight="13.5" customHeight="1" x14ac:dyDescent="0.2"/>
  <cols>
    <col min="1" max="1" width="6.140625" customWidth="1"/>
    <col min="2" max="2" width="7" customWidth="1"/>
    <col min="3" max="3" width="7.85546875" customWidth="1"/>
    <col min="4" max="4" width="14.42578125" customWidth="1"/>
    <col min="5" max="5" width="11" customWidth="1"/>
    <col min="6" max="6" width="7.85546875" bestFit="1" customWidth="1"/>
    <col min="7" max="9" width="9.140625" bestFit="1" customWidth="1"/>
    <col min="10" max="10" width="14.42578125" customWidth="1"/>
    <col min="11" max="11" width="9.140625" bestFit="1" customWidth="1"/>
    <col min="12" max="12" width="9" customWidth="1"/>
    <col min="13" max="13" width="13" customWidth="1"/>
    <col min="15" max="15" width="12.42578125" customWidth="1"/>
    <col min="16" max="16" width="14.42578125" customWidth="1"/>
  </cols>
  <sheetData>
    <row r="1" spans="1:18" ht="12.75" customHeight="1" x14ac:dyDescent="0.2"/>
    <row r="2" spans="1:18" ht="12.75" customHeight="1" x14ac:dyDescent="0.2">
      <c r="B2" s="31"/>
      <c r="C2" s="31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6"/>
      <c r="P2" s="76"/>
    </row>
    <row r="3" spans="1:18" ht="12.75" customHeight="1" x14ac:dyDescent="0.2">
      <c r="A3" t="s">
        <v>0</v>
      </c>
      <c r="B3" s="1" t="s">
        <v>15</v>
      </c>
      <c r="C3" s="1"/>
      <c r="D3" s="11"/>
      <c r="E3" s="2"/>
      <c r="F3" s="2"/>
      <c r="G3" s="2"/>
      <c r="H3" s="2"/>
      <c r="I3" s="2"/>
      <c r="J3" s="2"/>
      <c r="K3" s="2"/>
      <c r="L3" s="2"/>
      <c r="M3" s="2"/>
      <c r="N3" s="2"/>
      <c r="O3" s="59"/>
      <c r="P3" s="3"/>
    </row>
    <row r="4" spans="1:18" ht="12.75" customHeight="1" thickBot="1" x14ac:dyDescent="0.25">
      <c r="B4" s="4" t="s">
        <v>36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60"/>
    </row>
    <row r="5" spans="1:18" s="100" customFormat="1" ht="12.75" customHeight="1" x14ac:dyDescent="0.2">
      <c r="B5" s="137" t="s">
        <v>13</v>
      </c>
      <c r="C5" s="138"/>
      <c r="D5" s="236" t="s">
        <v>1</v>
      </c>
      <c r="E5" s="139" t="s">
        <v>3</v>
      </c>
      <c r="F5" s="139"/>
      <c r="G5" s="139"/>
      <c r="H5" s="139"/>
      <c r="I5" s="260" t="s">
        <v>4</v>
      </c>
      <c r="J5" s="262" t="s">
        <v>32</v>
      </c>
      <c r="K5" s="264" t="s">
        <v>5</v>
      </c>
      <c r="L5" s="266" t="s">
        <v>6</v>
      </c>
      <c r="M5" s="262" t="s">
        <v>16</v>
      </c>
      <c r="N5" s="230" t="s">
        <v>7</v>
      </c>
      <c r="O5" s="258" t="s">
        <v>8</v>
      </c>
      <c r="P5" s="234" t="s">
        <v>20</v>
      </c>
    </row>
    <row r="6" spans="1:18" s="100" customFormat="1" ht="43.5" customHeight="1" thickBot="1" x14ac:dyDescent="0.25">
      <c r="B6" s="140" t="s">
        <v>14</v>
      </c>
      <c r="C6" s="141" t="s">
        <v>12</v>
      </c>
      <c r="D6" s="237"/>
      <c r="E6" s="144" t="s">
        <v>9</v>
      </c>
      <c r="F6" s="144" t="s">
        <v>10</v>
      </c>
      <c r="G6" s="144" t="s">
        <v>11</v>
      </c>
      <c r="H6" s="144" t="s">
        <v>2</v>
      </c>
      <c r="I6" s="261"/>
      <c r="J6" s="263"/>
      <c r="K6" s="265"/>
      <c r="L6" s="267"/>
      <c r="M6" s="268"/>
      <c r="N6" s="231"/>
      <c r="O6" s="259"/>
      <c r="P6" s="235"/>
    </row>
    <row r="7" spans="1:18" ht="12.75" customHeight="1" x14ac:dyDescent="0.2">
      <c r="B7" s="22">
        <v>2013</v>
      </c>
      <c r="C7" s="61">
        <v>1</v>
      </c>
      <c r="D7" s="63">
        <v>3651848.1844285051</v>
      </c>
      <c r="E7" s="64">
        <v>133165.50561266503</v>
      </c>
      <c r="F7" s="62">
        <v>8525.3818984818063</v>
      </c>
      <c r="G7" s="62">
        <v>17956.813169747824</v>
      </c>
      <c r="H7" s="63">
        <v>159647.70068089466</v>
      </c>
      <c r="I7" s="62">
        <v>929889.27946171514</v>
      </c>
      <c r="J7" s="62">
        <v>18283.950167682022</v>
      </c>
      <c r="K7" s="62">
        <v>420421.59662861499</v>
      </c>
      <c r="L7" s="62">
        <v>4715.5305053910124</v>
      </c>
      <c r="M7" s="62">
        <v>1633.8187176607316</v>
      </c>
      <c r="N7" s="66">
        <v>5186440.0605904637</v>
      </c>
      <c r="O7" s="67">
        <v>148943.43564605009</v>
      </c>
      <c r="P7" s="68">
        <v>5335383.4962365134</v>
      </c>
      <c r="Q7" s="43"/>
      <c r="R7" s="43"/>
    </row>
    <row r="8" spans="1:18" ht="12.75" customHeight="1" x14ac:dyDescent="0.2">
      <c r="B8" s="69"/>
      <c r="C8" s="61">
        <v>2</v>
      </c>
      <c r="D8" s="63">
        <v>3415297.5339666633</v>
      </c>
      <c r="E8" s="64">
        <v>989153.59235761967</v>
      </c>
      <c r="F8" s="62">
        <v>6762.496895594988</v>
      </c>
      <c r="G8" s="62">
        <v>24936.754577936605</v>
      </c>
      <c r="H8" s="63">
        <v>1020852.8438311513</v>
      </c>
      <c r="I8" s="37">
        <v>190453.63633978157</v>
      </c>
      <c r="J8" s="37">
        <v>4365.9876057682559</v>
      </c>
      <c r="K8" s="37">
        <v>350405.65577741957</v>
      </c>
      <c r="L8" s="62">
        <v>38430.608426595398</v>
      </c>
      <c r="M8" s="62">
        <v>1760.1595207676291</v>
      </c>
      <c r="N8" s="66">
        <v>5021566.4254681468</v>
      </c>
      <c r="O8" s="70">
        <v>119656.13612575975</v>
      </c>
      <c r="P8" s="68">
        <v>5141222.561593907</v>
      </c>
      <c r="Q8" s="43"/>
      <c r="R8" s="43"/>
    </row>
    <row r="9" spans="1:18" ht="12.75" customHeight="1" x14ac:dyDescent="0.2">
      <c r="B9" s="69"/>
      <c r="C9" s="61">
        <v>3</v>
      </c>
      <c r="D9" s="63">
        <v>3329537.2585955872</v>
      </c>
      <c r="E9" s="37">
        <v>171222.29723684664</v>
      </c>
      <c r="F9" s="37">
        <v>27781.190575498505</v>
      </c>
      <c r="G9" s="37">
        <v>416670.01934859878</v>
      </c>
      <c r="H9" s="63">
        <v>615673.50716094393</v>
      </c>
      <c r="I9" s="37">
        <v>109581.17471596599</v>
      </c>
      <c r="J9" s="37">
        <v>5337.9245244637132</v>
      </c>
      <c r="K9" s="37">
        <v>355155.24030841218</v>
      </c>
      <c r="L9" s="62">
        <v>6358.3110137109761</v>
      </c>
      <c r="M9" s="66">
        <v>1830.2262694910169</v>
      </c>
      <c r="N9" s="66">
        <v>4423473.6425885744</v>
      </c>
      <c r="O9" s="71">
        <v>158218.58029574511</v>
      </c>
      <c r="P9" s="68">
        <v>4581692.2228843197</v>
      </c>
      <c r="R9" s="43"/>
    </row>
    <row r="10" spans="1:18" ht="12.75" customHeight="1" x14ac:dyDescent="0.2">
      <c r="B10" s="69"/>
      <c r="C10" s="61">
        <v>4</v>
      </c>
      <c r="D10" s="63">
        <v>3986732.9123092582</v>
      </c>
      <c r="E10" s="64">
        <v>50716.365923790261</v>
      </c>
      <c r="F10" s="62">
        <v>112449.78246640187</v>
      </c>
      <c r="G10" s="62">
        <v>42408.017986599938</v>
      </c>
      <c r="H10" s="63">
        <v>205574.16637679207</v>
      </c>
      <c r="I10" s="37">
        <v>158195.16159199295</v>
      </c>
      <c r="J10" s="37">
        <v>6704.1487377362791</v>
      </c>
      <c r="K10" s="62">
        <v>382339.42324754526</v>
      </c>
      <c r="L10" s="62">
        <v>3654.3136030544993</v>
      </c>
      <c r="M10" s="62">
        <v>1795.4262235239148</v>
      </c>
      <c r="N10" s="66">
        <v>4744995.5520899035</v>
      </c>
      <c r="O10" s="67">
        <v>161655.03652315238</v>
      </c>
      <c r="P10" s="68">
        <v>4906650.5886130556</v>
      </c>
      <c r="Q10" s="43"/>
      <c r="R10" s="43"/>
    </row>
    <row r="11" spans="1:18" ht="12.75" customHeight="1" x14ac:dyDescent="0.2">
      <c r="B11" s="69"/>
      <c r="C11" s="61">
        <v>5</v>
      </c>
      <c r="D11" s="63">
        <v>4184535.270079806</v>
      </c>
      <c r="E11" s="37">
        <v>50771.500615856668</v>
      </c>
      <c r="F11" s="37">
        <v>23052.967178380641</v>
      </c>
      <c r="G11" s="37">
        <v>17370.70330093506</v>
      </c>
      <c r="H11" s="63">
        <v>91195.171095172365</v>
      </c>
      <c r="I11" s="62">
        <v>520273.19138914876</v>
      </c>
      <c r="J11" s="62">
        <v>8336.1854044427164</v>
      </c>
      <c r="K11" s="62">
        <v>454883.75371139403</v>
      </c>
      <c r="L11" s="62">
        <v>2052.5108104027458</v>
      </c>
      <c r="M11" s="62">
        <v>1869.5941032990813</v>
      </c>
      <c r="N11" s="62">
        <v>5263145.676593666</v>
      </c>
      <c r="O11" s="67">
        <v>180984.16316442395</v>
      </c>
      <c r="P11" s="68">
        <v>5444129.8397580897</v>
      </c>
      <c r="Q11" s="43"/>
      <c r="R11" s="43"/>
    </row>
    <row r="12" spans="1:18" ht="12.75" customHeight="1" x14ac:dyDescent="0.2">
      <c r="B12" s="69"/>
      <c r="C12" s="61">
        <v>6</v>
      </c>
      <c r="D12" s="63">
        <v>4294205.4447271647</v>
      </c>
      <c r="E12" s="64">
        <v>325335.23966396815</v>
      </c>
      <c r="F12" s="62">
        <v>44564.96136895247</v>
      </c>
      <c r="G12" s="62">
        <v>24318.903973042616</v>
      </c>
      <c r="H12" s="63">
        <v>394219.10500596324</v>
      </c>
      <c r="I12" s="62">
        <v>129304.35983719712</v>
      </c>
      <c r="J12" s="62">
        <v>9007.2612935244106</v>
      </c>
      <c r="K12" s="62">
        <v>472812.30297824612</v>
      </c>
      <c r="L12" s="62">
        <v>12452.533321740397</v>
      </c>
      <c r="M12" s="62">
        <v>1800.0700360313058</v>
      </c>
      <c r="N12" s="62">
        <v>5313801.077199867</v>
      </c>
      <c r="O12" s="72">
        <v>168153.16273940768</v>
      </c>
      <c r="P12" s="68">
        <v>5481954.2399392743</v>
      </c>
      <c r="Q12" s="43"/>
      <c r="R12" s="43"/>
    </row>
    <row r="13" spans="1:18" ht="12.75" customHeight="1" x14ac:dyDescent="0.2">
      <c r="B13" s="69"/>
      <c r="C13" s="61">
        <v>7</v>
      </c>
      <c r="D13" s="63">
        <v>4282809.5753616672</v>
      </c>
      <c r="E13" s="64">
        <v>143035.79709917353</v>
      </c>
      <c r="F13" s="62">
        <v>24427.790402608633</v>
      </c>
      <c r="G13" s="62">
        <v>479764.56855158543</v>
      </c>
      <c r="H13" s="63">
        <v>647228.15605336754</v>
      </c>
      <c r="I13" s="62">
        <v>565528.45328805048</v>
      </c>
      <c r="J13" s="62">
        <v>10420.891597336158</v>
      </c>
      <c r="K13" s="62">
        <v>432417.61286317796</v>
      </c>
      <c r="L13" s="62">
        <v>5357.9770106032956</v>
      </c>
      <c r="M13" s="62">
        <v>1800.9106777086854</v>
      </c>
      <c r="N13" s="62">
        <v>5945563.5768519118</v>
      </c>
      <c r="O13" s="70">
        <v>202109.78564889502</v>
      </c>
      <c r="P13" s="68">
        <v>6147673.3625008073</v>
      </c>
      <c r="Q13" s="43"/>
      <c r="R13" s="43"/>
    </row>
    <row r="14" spans="1:18" ht="12.75" customHeight="1" x14ac:dyDescent="0.2">
      <c r="B14" s="69"/>
      <c r="C14" s="61">
        <v>8</v>
      </c>
      <c r="D14" s="63">
        <v>4463589.8526880126</v>
      </c>
      <c r="E14" s="37">
        <v>314561.89827545953</v>
      </c>
      <c r="F14" s="37">
        <v>45307.481672891183</v>
      </c>
      <c r="G14" s="37">
        <v>58870.686745177954</v>
      </c>
      <c r="H14" s="63">
        <v>418740.06669352867</v>
      </c>
      <c r="I14" s="62">
        <v>187436.18032020994</v>
      </c>
      <c r="J14" s="62">
        <v>9373.9207228086889</v>
      </c>
      <c r="K14" s="62">
        <v>472821.66648471064</v>
      </c>
      <c r="L14" s="62">
        <v>11967.447528713907</v>
      </c>
      <c r="M14" s="66">
        <v>2969.664662130177</v>
      </c>
      <c r="N14" s="62">
        <v>5566898.799100114</v>
      </c>
      <c r="O14" s="70">
        <v>286888.38888830889</v>
      </c>
      <c r="P14" s="68">
        <v>5853787.1879884228</v>
      </c>
      <c r="R14" s="43"/>
    </row>
    <row r="15" spans="1:18" ht="12.75" customHeight="1" x14ac:dyDescent="0.2">
      <c r="B15" s="69"/>
      <c r="C15" s="61">
        <v>9</v>
      </c>
      <c r="D15" s="63">
        <v>4419800.5063504353</v>
      </c>
      <c r="E15" s="64">
        <v>145963.2764990803</v>
      </c>
      <c r="F15" s="62">
        <v>23167.052298070106</v>
      </c>
      <c r="G15" s="62">
        <v>80200.640506812721</v>
      </c>
      <c r="H15" s="63">
        <v>249330.96930396312</v>
      </c>
      <c r="I15" s="62">
        <v>572707.31163073413</v>
      </c>
      <c r="J15" s="62">
        <v>10693.226545013953</v>
      </c>
      <c r="K15" s="62">
        <v>487797.83035478246</v>
      </c>
      <c r="L15" s="62">
        <v>5419.0046103486093</v>
      </c>
      <c r="M15" s="62">
        <v>1798.66099563241</v>
      </c>
      <c r="N15" s="62">
        <v>5747547.5097909104</v>
      </c>
      <c r="O15" s="67">
        <v>187905.13805389806</v>
      </c>
      <c r="P15" s="68">
        <v>5935452.6478448082</v>
      </c>
      <c r="Q15" s="43"/>
      <c r="R15" s="43"/>
    </row>
    <row r="16" spans="1:18" ht="12.75" customHeight="1" x14ac:dyDescent="0.2">
      <c r="B16" s="69"/>
      <c r="C16" s="61">
        <v>10</v>
      </c>
      <c r="D16" s="63">
        <v>4485084.2625290919</v>
      </c>
      <c r="E16" s="64">
        <v>319681.3040227883</v>
      </c>
      <c r="F16" s="62">
        <v>46228.959806661413</v>
      </c>
      <c r="G16" s="62">
        <v>56208.160939289315</v>
      </c>
      <c r="H16" s="63">
        <v>422118.42476873903</v>
      </c>
      <c r="I16" s="62">
        <v>200210.05115965218</v>
      </c>
      <c r="J16" s="62">
        <v>12766.308884473052</v>
      </c>
      <c r="K16" s="37">
        <v>494123.7496303193</v>
      </c>
      <c r="L16" s="37">
        <v>11922.35652287479</v>
      </c>
      <c r="M16" s="37">
        <v>2255.0305176079273</v>
      </c>
      <c r="N16" s="62">
        <v>5628480.1840127576</v>
      </c>
      <c r="O16" s="73">
        <v>176957.41996144026</v>
      </c>
      <c r="P16" s="68">
        <v>5805437.603974198</v>
      </c>
      <c r="Q16" s="43"/>
      <c r="R16" s="43"/>
    </row>
    <row r="17" spans="1:18" ht="12.75" customHeight="1" x14ac:dyDescent="0.2">
      <c r="B17" s="69"/>
      <c r="C17" s="61">
        <v>11</v>
      </c>
      <c r="D17" s="63">
        <v>4811520.6950199716</v>
      </c>
      <c r="E17" s="37">
        <v>139144.06055170624</v>
      </c>
      <c r="F17" s="37">
        <v>24744.125504620548</v>
      </c>
      <c r="G17" s="37">
        <v>493627.54890066147</v>
      </c>
      <c r="H17" s="63">
        <v>657515.73495698825</v>
      </c>
      <c r="I17" s="37">
        <v>592826.47106671182</v>
      </c>
      <c r="J17" s="37">
        <v>13344.663937420584</v>
      </c>
      <c r="K17" s="62">
        <v>518398.10656287952</v>
      </c>
      <c r="L17" s="62">
        <v>4935.5128072432708</v>
      </c>
      <c r="M17" s="62">
        <v>2013.753634467721</v>
      </c>
      <c r="N17" s="62">
        <v>6600554.9379856829</v>
      </c>
      <c r="O17" s="41">
        <v>200791.39158472203</v>
      </c>
      <c r="P17" s="68">
        <v>6801346.3295704052</v>
      </c>
      <c r="Q17" s="43"/>
      <c r="R17" s="43"/>
    </row>
    <row r="18" spans="1:18" ht="12.75" customHeight="1" thickBot="1" x14ac:dyDescent="0.25">
      <c r="B18" s="69"/>
      <c r="C18" s="61">
        <v>12</v>
      </c>
      <c r="D18" s="63">
        <v>4352244.7044394454</v>
      </c>
      <c r="E18" s="64">
        <v>302078.57188851404</v>
      </c>
      <c r="F18" s="62">
        <v>15928.297988574835</v>
      </c>
      <c r="G18" s="62">
        <v>56357.931995447958</v>
      </c>
      <c r="H18" s="63">
        <v>374364.80187253683</v>
      </c>
      <c r="I18" s="37">
        <v>226622.91315609659</v>
      </c>
      <c r="J18" s="37">
        <v>25103.308436093852</v>
      </c>
      <c r="K18" s="62">
        <v>481641.88192086556</v>
      </c>
      <c r="L18" s="62">
        <v>10684.902518245915</v>
      </c>
      <c r="M18" s="62">
        <v>1883.8182797431946</v>
      </c>
      <c r="N18" s="62">
        <v>5472546.3306230269</v>
      </c>
      <c r="O18" s="67">
        <v>171949.27259746875</v>
      </c>
      <c r="P18" s="68">
        <v>5644495.6032204954</v>
      </c>
      <c r="Q18" s="43"/>
      <c r="R18" s="43"/>
    </row>
    <row r="19" spans="1:18" ht="12.75" customHeight="1" thickBot="1" x14ac:dyDescent="0.25">
      <c r="A19" s="43"/>
      <c r="B19" s="217" t="s">
        <v>18</v>
      </c>
      <c r="C19" s="218"/>
      <c r="D19" s="152">
        <v>49677206.200495616</v>
      </c>
      <c r="E19" s="152">
        <v>3084829.4097474678</v>
      </c>
      <c r="F19" s="152">
        <v>402940.488056737</v>
      </c>
      <c r="G19" s="152">
        <v>1768690.7499958358</v>
      </c>
      <c r="H19" s="152">
        <v>5256460.6478000414</v>
      </c>
      <c r="I19" s="152">
        <v>4383028.1839572564</v>
      </c>
      <c r="J19" s="152">
        <v>133737.77785676369</v>
      </c>
      <c r="K19" s="152">
        <v>5323218.820468368</v>
      </c>
      <c r="L19" s="152">
        <v>117951.00867892482</v>
      </c>
      <c r="M19" s="152">
        <v>23411.133638063795</v>
      </c>
      <c r="N19" s="152">
        <v>64915013.772895023</v>
      </c>
      <c r="O19" s="152">
        <v>2164211.9112292719</v>
      </c>
      <c r="P19" s="152">
        <v>67079225.684124298</v>
      </c>
      <c r="Q19" s="43"/>
    </row>
    <row r="20" spans="1:18" s="74" customFormat="1" ht="12.75" customHeight="1" x14ac:dyDescent="0.2">
      <c r="B20" s="21" t="s">
        <v>19</v>
      </c>
      <c r="C20" s="55"/>
      <c r="D20" s="56"/>
      <c r="E20" s="56"/>
      <c r="F20" s="57"/>
    </row>
    <row r="21" spans="1:18" s="75" customFormat="1" ht="12.75" customHeight="1" x14ac:dyDescent="0.2">
      <c r="C21" s="21"/>
      <c r="D21" s="31"/>
      <c r="E21" s="77"/>
      <c r="F21" s="76"/>
    </row>
    <row r="22" spans="1:18" ht="12.75" customHeight="1" x14ac:dyDescent="0.2"/>
    <row r="23" spans="1:18" ht="12.75" customHeight="1" x14ac:dyDescent="0.2"/>
  </sheetData>
  <mergeCells count="10">
    <mergeCell ref="D5:D6"/>
    <mergeCell ref="O5:O6"/>
    <mergeCell ref="P5:P6"/>
    <mergeCell ref="B19:C19"/>
    <mergeCell ref="I5:I6"/>
    <mergeCell ref="J5:J6"/>
    <mergeCell ref="K5:K6"/>
    <mergeCell ref="L5:L6"/>
    <mergeCell ref="M5:M6"/>
    <mergeCell ref="N5:N6"/>
  </mergeCells>
  <conditionalFormatting sqref="K9:O11 K7:P8 J12:O12 P9:P12 J7:J11 J13:P19 B19:C19 D7:I19">
    <cfRule type="cellIs" dxfId="21" priority="25" stopIfTrue="1" operator="equal">
      <formula>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workbookViewId="0">
      <selection activeCell="J30" sqref="J30"/>
    </sheetView>
  </sheetViews>
  <sheetFormatPr baseColWidth="10" defaultRowHeight="13.5" customHeight="1" x14ac:dyDescent="0.2"/>
  <cols>
    <col min="1" max="1" width="6.140625" customWidth="1"/>
    <col min="2" max="2" width="10.7109375" customWidth="1"/>
    <col min="3" max="3" width="11.5703125" customWidth="1"/>
    <col min="4" max="4" width="14.42578125" customWidth="1"/>
    <col min="5" max="5" width="11" customWidth="1"/>
    <col min="6" max="6" width="7.85546875" bestFit="1" customWidth="1"/>
    <col min="7" max="9" width="9.140625" bestFit="1" customWidth="1"/>
    <col min="10" max="10" width="14.42578125" customWidth="1"/>
    <col min="11" max="11" width="9.140625" bestFit="1" customWidth="1"/>
    <col min="12" max="12" width="9" customWidth="1"/>
    <col min="13" max="13" width="13" customWidth="1"/>
    <col min="15" max="15" width="12.42578125" customWidth="1"/>
    <col min="16" max="16" width="14.42578125" customWidth="1"/>
  </cols>
  <sheetData>
    <row r="1" spans="1:18" ht="12.75" customHeight="1" x14ac:dyDescent="0.2"/>
    <row r="2" spans="1:18" ht="12.75" customHeight="1" x14ac:dyDescent="0.2">
      <c r="B2" s="31"/>
      <c r="C2" s="31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6"/>
      <c r="P2" s="76"/>
    </row>
    <row r="3" spans="1:18" ht="12.75" customHeight="1" x14ac:dyDescent="0.2">
      <c r="A3" t="s">
        <v>0</v>
      </c>
      <c r="B3" s="1" t="s">
        <v>15</v>
      </c>
      <c r="C3" s="1"/>
      <c r="D3" s="11"/>
      <c r="E3" s="2"/>
      <c r="F3" s="2"/>
      <c r="G3" s="2"/>
      <c r="H3" s="2"/>
      <c r="I3" s="2"/>
      <c r="J3" s="2"/>
      <c r="K3" s="2"/>
      <c r="L3" s="2"/>
      <c r="M3" s="2"/>
      <c r="N3" s="2"/>
      <c r="O3" s="59"/>
      <c r="P3" s="3"/>
    </row>
    <row r="4" spans="1:18" ht="12.75" customHeight="1" thickBot="1" x14ac:dyDescent="0.25">
      <c r="B4" s="4" t="s">
        <v>35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60"/>
    </row>
    <row r="5" spans="1:18" s="100" customFormat="1" ht="12.75" customHeight="1" x14ac:dyDescent="0.2">
      <c r="B5" s="137" t="s">
        <v>13</v>
      </c>
      <c r="C5" s="138"/>
      <c r="D5" s="236" t="s">
        <v>1</v>
      </c>
      <c r="E5" s="139" t="s">
        <v>3</v>
      </c>
      <c r="F5" s="139"/>
      <c r="G5" s="139"/>
      <c r="H5" s="139"/>
      <c r="I5" s="260" t="s">
        <v>4</v>
      </c>
      <c r="J5" s="262" t="s">
        <v>32</v>
      </c>
      <c r="K5" s="264" t="s">
        <v>5</v>
      </c>
      <c r="L5" s="266" t="s">
        <v>6</v>
      </c>
      <c r="M5" s="262" t="s">
        <v>16</v>
      </c>
      <c r="N5" s="230" t="s">
        <v>7</v>
      </c>
      <c r="O5" s="258" t="s">
        <v>8</v>
      </c>
      <c r="P5" s="234" t="s">
        <v>20</v>
      </c>
    </row>
    <row r="6" spans="1:18" s="100" customFormat="1" ht="43.5" customHeight="1" thickBot="1" x14ac:dyDescent="0.25">
      <c r="B6" s="140" t="s">
        <v>14</v>
      </c>
      <c r="C6" s="141" t="s">
        <v>12</v>
      </c>
      <c r="D6" s="237"/>
      <c r="E6" s="144" t="s">
        <v>9</v>
      </c>
      <c r="F6" s="144" t="s">
        <v>10</v>
      </c>
      <c r="G6" s="144" t="s">
        <v>11</v>
      </c>
      <c r="H6" s="144" t="s">
        <v>2</v>
      </c>
      <c r="I6" s="261"/>
      <c r="J6" s="263"/>
      <c r="K6" s="265"/>
      <c r="L6" s="267"/>
      <c r="M6" s="268"/>
      <c r="N6" s="231"/>
      <c r="O6" s="259"/>
      <c r="P6" s="235"/>
    </row>
    <row r="7" spans="1:18" ht="12.75" customHeight="1" x14ac:dyDescent="0.2">
      <c r="B7" s="22">
        <v>2012</v>
      </c>
      <c r="C7" s="61">
        <v>1</v>
      </c>
      <c r="D7" s="63">
        <v>2628832.4280000003</v>
      </c>
      <c r="E7" s="64">
        <v>86608.721000000005</v>
      </c>
      <c r="F7" s="62">
        <v>16127.018000000002</v>
      </c>
      <c r="G7" s="62">
        <v>8675.3160000000007</v>
      </c>
      <c r="H7" s="65">
        <v>111411.05500000001</v>
      </c>
      <c r="I7" s="62">
        <v>625296.74499999988</v>
      </c>
      <c r="J7" s="62">
        <v>4584.8720000000003</v>
      </c>
      <c r="K7" s="62">
        <v>311089.245</v>
      </c>
      <c r="L7" s="62">
        <v>3612.2200000000003</v>
      </c>
      <c r="M7" s="62">
        <v>2689.8009999999999</v>
      </c>
      <c r="N7" s="66">
        <v>3687516.3660000004</v>
      </c>
      <c r="O7" s="67">
        <v>116808.21340000004</v>
      </c>
      <c r="P7" s="68">
        <v>3804324.5794000006</v>
      </c>
      <c r="Q7" s="43"/>
      <c r="R7" s="43"/>
    </row>
    <row r="8" spans="1:18" ht="12.75" customHeight="1" x14ac:dyDescent="0.2">
      <c r="B8" s="69"/>
      <c r="C8" s="61">
        <v>2</v>
      </c>
      <c r="D8" s="63">
        <v>2190692.3898</v>
      </c>
      <c r="E8" s="64">
        <v>681689.21499999997</v>
      </c>
      <c r="F8" s="62">
        <v>90616.073000000004</v>
      </c>
      <c r="G8" s="62">
        <v>10099.587</v>
      </c>
      <c r="H8" s="65">
        <v>782404.875</v>
      </c>
      <c r="I8" s="37">
        <v>109624.29199999999</v>
      </c>
      <c r="J8" s="37">
        <v>1978.8109999999997</v>
      </c>
      <c r="K8" s="37">
        <v>275061.97500000003</v>
      </c>
      <c r="L8" s="62">
        <v>29937.386000000002</v>
      </c>
      <c r="M8" s="62">
        <v>3125.5410000000002</v>
      </c>
      <c r="N8" s="66">
        <v>3392825.2697999999</v>
      </c>
      <c r="O8" s="70">
        <v>86335.132959999974</v>
      </c>
      <c r="P8" s="68">
        <v>3479160.40276</v>
      </c>
      <c r="Q8" s="43"/>
      <c r="R8" s="43"/>
    </row>
    <row r="9" spans="1:18" ht="12.75" customHeight="1" x14ac:dyDescent="0.2">
      <c r="B9" s="69"/>
      <c r="C9" s="61">
        <v>3</v>
      </c>
      <c r="D9" s="63">
        <v>2496777.8017000002</v>
      </c>
      <c r="E9" s="37">
        <v>98307.664000000019</v>
      </c>
      <c r="F9" s="37">
        <v>14629.740000000002</v>
      </c>
      <c r="G9" s="37">
        <v>273174.91099999996</v>
      </c>
      <c r="H9" s="65">
        <v>386112.31499999994</v>
      </c>
      <c r="I9" s="37">
        <v>66924.01999999999</v>
      </c>
      <c r="J9" s="37">
        <v>1971.7859999999998</v>
      </c>
      <c r="K9" s="37">
        <v>257402.24400000001</v>
      </c>
      <c r="L9" s="62">
        <v>3820.9680000000008</v>
      </c>
      <c r="M9" s="66">
        <v>3309.8970000000004</v>
      </c>
      <c r="N9" s="66">
        <v>3216319.0317000002</v>
      </c>
      <c r="O9" s="71">
        <v>102486.89800000002</v>
      </c>
      <c r="P9" s="68">
        <v>3318805.9297000002</v>
      </c>
      <c r="R9" s="43"/>
    </row>
    <row r="10" spans="1:18" ht="12.75" customHeight="1" x14ac:dyDescent="0.2">
      <c r="B10" s="69"/>
      <c r="C10" s="61">
        <v>4</v>
      </c>
      <c r="D10" s="63">
        <v>2338951.4500000002</v>
      </c>
      <c r="E10" s="64">
        <v>27096.387000000006</v>
      </c>
      <c r="F10" s="62">
        <v>5923.1079999999993</v>
      </c>
      <c r="G10" s="62">
        <v>26419.63600000001</v>
      </c>
      <c r="H10" s="65">
        <v>59439.131000000016</v>
      </c>
      <c r="I10" s="37">
        <v>65370.438000000002</v>
      </c>
      <c r="J10" s="37">
        <v>2070.1120000000001</v>
      </c>
      <c r="K10" s="62">
        <v>280530.962</v>
      </c>
      <c r="L10" s="62">
        <v>904.29300000000001</v>
      </c>
      <c r="M10" s="62">
        <v>3382.7070000000003</v>
      </c>
      <c r="N10" s="66">
        <v>2750649.0930000003</v>
      </c>
      <c r="O10" s="67">
        <v>103783.10999999999</v>
      </c>
      <c r="P10" s="68">
        <v>2854432.2030000002</v>
      </c>
      <c r="Q10" s="43"/>
      <c r="R10" s="43"/>
    </row>
    <row r="11" spans="1:18" ht="12.75" customHeight="1" x14ac:dyDescent="0.2">
      <c r="B11" s="69"/>
      <c r="C11" s="61">
        <v>5</v>
      </c>
      <c r="D11" s="63">
        <v>2737039.2340000006</v>
      </c>
      <c r="E11" s="37">
        <v>38955.791000000005</v>
      </c>
      <c r="F11" s="37">
        <v>6160.5129999999999</v>
      </c>
      <c r="G11" s="37">
        <v>14718.457999999999</v>
      </c>
      <c r="H11" s="65">
        <v>59834.762000000002</v>
      </c>
      <c r="I11" s="62">
        <v>385738.89899999992</v>
      </c>
      <c r="J11" s="62">
        <v>3913.9150000000004</v>
      </c>
      <c r="K11" s="62">
        <v>299496.64799999999</v>
      </c>
      <c r="L11" s="62">
        <v>1318.8790000000001</v>
      </c>
      <c r="M11" s="62">
        <v>3039.252</v>
      </c>
      <c r="N11" s="62">
        <v>3490381.5890000006</v>
      </c>
      <c r="O11" s="67">
        <v>134144.28099999987</v>
      </c>
      <c r="P11" s="68">
        <v>3624525.8700000006</v>
      </c>
      <c r="Q11" s="43"/>
      <c r="R11" s="43"/>
    </row>
    <row r="12" spans="1:18" ht="12.75" customHeight="1" x14ac:dyDescent="0.2">
      <c r="B12" s="69"/>
      <c r="C12" s="61">
        <v>6</v>
      </c>
      <c r="D12" s="63">
        <v>2742128.7079999996</v>
      </c>
      <c r="E12" s="64">
        <v>206846.24999999997</v>
      </c>
      <c r="F12" s="62">
        <v>42427.891999999985</v>
      </c>
      <c r="G12" s="62">
        <v>18823.661999999997</v>
      </c>
      <c r="H12" s="65">
        <v>268097.80399999995</v>
      </c>
      <c r="I12" s="62">
        <v>94657.006999999998</v>
      </c>
      <c r="J12" s="62">
        <v>4975.8869999999997</v>
      </c>
      <c r="K12" s="62">
        <v>349543.81</v>
      </c>
      <c r="L12" s="62">
        <v>8633.0270000000019</v>
      </c>
      <c r="M12" s="62">
        <v>3343.8620000000001</v>
      </c>
      <c r="N12" s="62">
        <v>3471380.1049999995</v>
      </c>
      <c r="O12" s="72">
        <v>132989.02900000001</v>
      </c>
      <c r="P12" s="68">
        <v>3604369.1339999996</v>
      </c>
      <c r="Q12" s="43"/>
      <c r="R12" s="43"/>
    </row>
    <row r="13" spans="1:18" ht="12.75" customHeight="1" x14ac:dyDescent="0.2">
      <c r="B13" s="69"/>
      <c r="C13" s="61">
        <v>7</v>
      </c>
      <c r="D13" s="63">
        <v>2677977.1621789504</v>
      </c>
      <c r="E13" s="64">
        <v>71641.843795032357</v>
      </c>
      <c r="F13" s="62">
        <v>15749.228797839105</v>
      </c>
      <c r="G13" s="62">
        <v>269759.23090168549</v>
      </c>
      <c r="H13" s="65">
        <v>357150.30349455692</v>
      </c>
      <c r="I13" s="62">
        <v>375554.79829345475</v>
      </c>
      <c r="J13" s="62">
        <v>4917.5137950037715</v>
      </c>
      <c r="K13" s="62">
        <v>319226.28807769524</v>
      </c>
      <c r="L13" s="62">
        <v>2853.1191012732093</v>
      </c>
      <c r="M13" s="62">
        <v>3153.7925000106698</v>
      </c>
      <c r="N13" s="62">
        <v>3740832.9774409449</v>
      </c>
      <c r="O13" s="70">
        <v>128445.62450006318</v>
      </c>
      <c r="P13" s="68">
        <v>3869278.6019410081</v>
      </c>
      <c r="Q13" s="43"/>
      <c r="R13" s="43"/>
    </row>
    <row r="14" spans="1:18" ht="12.75" customHeight="1" x14ac:dyDescent="0.2">
      <c r="B14" s="69"/>
      <c r="C14" s="61">
        <v>8</v>
      </c>
      <c r="D14" s="63">
        <v>3100023.3854916869</v>
      </c>
      <c r="E14" s="37">
        <v>189356.23066598363</v>
      </c>
      <c r="F14" s="37">
        <v>39015.95848602656</v>
      </c>
      <c r="G14" s="37">
        <v>193995.61792009644</v>
      </c>
      <c r="H14" s="65">
        <v>422367.80707210663</v>
      </c>
      <c r="I14" s="62">
        <v>136686.45008429757</v>
      </c>
      <c r="J14" s="62">
        <v>5556.0353208614979</v>
      </c>
      <c r="K14" s="62">
        <v>378622.27451313153</v>
      </c>
      <c r="L14" s="62">
        <v>7867.9883189271786</v>
      </c>
      <c r="M14" s="66">
        <v>3290.819818302989</v>
      </c>
      <c r="N14" s="62">
        <v>4054414.7606193144</v>
      </c>
      <c r="O14" s="70">
        <v>136301.65578080819</v>
      </c>
      <c r="P14" s="68">
        <v>4190716.4164001225</v>
      </c>
      <c r="R14" s="43"/>
    </row>
    <row r="15" spans="1:18" ht="12.75" customHeight="1" x14ac:dyDescent="0.2">
      <c r="B15" s="69"/>
      <c r="C15" s="61">
        <v>9</v>
      </c>
      <c r="D15" s="63">
        <v>2933367.8928747415</v>
      </c>
      <c r="E15" s="64">
        <v>58072.45106356364</v>
      </c>
      <c r="F15" s="62">
        <v>14458.456315772375</v>
      </c>
      <c r="G15" s="62">
        <v>28836.528508680814</v>
      </c>
      <c r="H15" s="65">
        <v>101367.43588801683</v>
      </c>
      <c r="I15" s="62">
        <v>371493.52246212261</v>
      </c>
      <c r="J15" s="62">
        <v>6246.896373815136</v>
      </c>
      <c r="K15" s="62">
        <v>387021.18860871525</v>
      </c>
      <c r="L15" s="62">
        <v>2286.2488056576112</v>
      </c>
      <c r="M15" s="62">
        <v>3226.0052081048489</v>
      </c>
      <c r="N15" s="62">
        <v>3805009.1902211737</v>
      </c>
      <c r="O15" s="67">
        <v>144045.19326801604</v>
      </c>
      <c r="P15" s="68">
        <v>3949054.3834891897</v>
      </c>
      <c r="Q15" s="43"/>
      <c r="R15" s="43"/>
    </row>
    <row r="16" spans="1:18" ht="12.75" customHeight="1" x14ac:dyDescent="0.2">
      <c r="B16" s="69"/>
      <c r="C16" s="61">
        <v>10</v>
      </c>
      <c r="D16" s="63">
        <v>3221530.8476845562</v>
      </c>
      <c r="E16" s="64">
        <v>191003.12038313091</v>
      </c>
      <c r="F16" s="62">
        <v>37502.876911702042</v>
      </c>
      <c r="G16" s="62">
        <v>36736.214504812437</v>
      </c>
      <c r="H16" s="65">
        <v>265242.21179964539</v>
      </c>
      <c r="I16" s="62">
        <v>120659.57565248292</v>
      </c>
      <c r="J16" s="62">
        <v>12268.876347707585</v>
      </c>
      <c r="K16" s="37">
        <v>355124.47205995931</v>
      </c>
      <c r="L16" s="37">
        <v>7822.3892183704884</v>
      </c>
      <c r="M16" s="37">
        <v>3289.4836419224739</v>
      </c>
      <c r="N16" s="62">
        <v>3985937.8564046444</v>
      </c>
      <c r="O16" s="73">
        <v>169801.95940776332</v>
      </c>
      <c r="P16" s="68">
        <v>4155739.815812408</v>
      </c>
      <c r="Q16" s="43"/>
      <c r="R16" s="43"/>
    </row>
    <row r="17" spans="1:18" ht="12.75" customHeight="1" x14ac:dyDescent="0.2">
      <c r="B17" s="69"/>
      <c r="C17" s="61">
        <v>11</v>
      </c>
      <c r="D17" s="63">
        <v>3167302.8716134485</v>
      </c>
      <c r="E17" s="37">
        <v>61467.852094344737</v>
      </c>
      <c r="F17" s="37">
        <v>15321.135004765587</v>
      </c>
      <c r="G17" s="37">
        <v>384330.47989195108</v>
      </c>
      <c r="H17" s="65">
        <v>461119.4669910614</v>
      </c>
      <c r="I17" s="37">
        <v>376418.79562389076</v>
      </c>
      <c r="J17" s="37">
        <v>6343.3601023703814</v>
      </c>
      <c r="K17" s="62">
        <v>379260.34429165995</v>
      </c>
      <c r="L17" s="62">
        <v>2421.0691053408664</v>
      </c>
      <c r="M17" s="62">
        <v>3428.7603921294212</v>
      </c>
      <c r="N17" s="62">
        <v>4396294.6681199018</v>
      </c>
      <c r="O17" s="41">
        <v>152795.54558886646</v>
      </c>
      <c r="P17" s="68">
        <v>4549090.2137087686</v>
      </c>
      <c r="Q17" s="43"/>
      <c r="R17" s="43"/>
    </row>
    <row r="18" spans="1:18" ht="12.75" customHeight="1" thickBot="1" x14ac:dyDescent="0.25">
      <c r="B18" s="69"/>
      <c r="C18" s="61">
        <v>12</v>
      </c>
      <c r="D18" s="63">
        <v>3207036.6364770918</v>
      </c>
      <c r="E18" s="64">
        <v>295052.38833991194</v>
      </c>
      <c r="F18" s="62">
        <v>8578.4289048803621</v>
      </c>
      <c r="G18" s="62">
        <v>41243.094611266511</v>
      </c>
      <c r="H18" s="65">
        <v>344873.91185605881</v>
      </c>
      <c r="I18" s="62">
        <v>181499.86565426301</v>
      </c>
      <c r="J18" s="62">
        <v>15791.719771920703</v>
      </c>
      <c r="K18" s="62">
        <v>394551.96059138793</v>
      </c>
      <c r="L18" s="62">
        <v>10462.821218433033</v>
      </c>
      <c r="M18" s="62">
        <v>3341.8310168385506</v>
      </c>
      <c r="N18" s="62">
        <v>4157558.746585994</v>
      </c>
      <c r="O18" s="67">
        <v>153940.35935768503</v>
      </c>
      <c r="P18" s="68">
        <v>4311499.1059436789</v>
      </c>
      <c r="Q18" s="43"/>
      <c r="R18" s="43"/>
    </row>
    <row r="19" spans="1:18" ht="12.75" customHeight="1" thickBot="1" x14ac:dyDescent="0.25">
      <c r="A19" s="43"/>
      <c r="B19" s="217" t="s">
        <v>18</v>
      </c>
      <c r="C19" s="218"/>
      <c r="D19" s="152">
        <v>33441660.807820469</v>
      </c>
      <c r="E19" s="152">
        <v>2006097.9143419671</v>
      </c>
      <c r="F19" s="152">
        <v>306510.42842098599</v>
      </c>
      <c r="G19" s="152">
        <v>1306812.7363384929</v>
      </c>
      <c r="H19" s="152">
        <v>3619421.0791014466</v>
      </c>
      <c r="I19" s="152">
        <v>2909924.4087705114</v>
      </c>
      <c r="J19" s="152">
        <v>70619.784711679065</v>
      </c>
      <c r="K19" s="152">
        <v>3986931.4121425496</v>
      </c>
      <c r="L19" s="152">
        <v>81940.40876800238</v>
      </c>
      <c r="M19" s="152">
        <v>38621.752577308958</v>
      </c>
      <c r="N19" s="152">
        <v>44149119.653891981</v>
      </c>
      <c r="O19" s="152">
        <v>1561877.0022632021</v>
      </c>
      <c r="P19" s="152">
        <v>45710996.656155176</v>
      </c>
      <c r="Q19" s="43"/>
    </row>
    <row r="20" spans="1:18" s="74" customFormat="1" ht="12.75" customHeight="1" x14ac:dyDescent="0.2">
      <c r="B20" s="21" t="s">
        <v>19</v>
      </c>
      <c r="C20" s="55"/>
      <c r="D20" s="56"/>
      <c r="E20" s="78"/>
      <c r="F20" s="57"/>
    </row>
    <row r="21" spans="1:18" s="75" customFormat="1" ht="12.75" customHeight="1" x14ac:dyDescent="0.2">
      <c r="C21" s="21"/>
      <c r="D21" s="31"/>
      <c r="E21" s="77"/>
      <c r="F21" s="76"/>
    </row>
    <row r="22" spans="1:18" ht="12.75" customHeight="1" x14ac:dyDescent="0.2"/>
    <row r="23" spans="1:18" ht="12.75" customHeight="1" x14ac:dyDescent="0.2">
      <c r="E23" s="43"/>
    </row>
  </sheetData>
  <mergeCells count="10">
    <mergeCell ref="D5:D6"/>
    <mergeCell ref="O5:O6"/>
    <mergeCell ref="P5:P6"/>
    <mergeCell ref="B19:C19"/>
    <mergeCell ref="I5:I6"/>
    <mergeCell ref="J5:J6"/>
    <mergeCell ref="K5:K6"/>
    <mergeCell ref="L5:L6"/>
    <mergeCell ref="M5:M6"/>
    <mergeCell ref="N5:N6"/>
  </mergeCells>
  <conditionalFormatting sqref="K9:O11 K7:P8 J12:O12 P9:P12 J7:J11 J13:P19 I18:J18 E20 B19:C19 D7:I19">
    <cfRule type="cellIs" dxfId="20" priority="21" stopIfTrue="1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20"/>
  <sheetViews>
    <sheetView workbookViewId="0">
      <selection activeCell="J30" sqref="J30"/>
    </sheetView>
  </sheetViews>
  <sheetFormatPr baseColWidth="10" defaultRowHeight="12.75" x14ac:dyDescent="0.2"/>
  <cols>
    <col min="1" max="1" width="6" customWidth="1"/>
    <col min="4" max="4" width="14.42578125" customWidth="1"/>
    <col min="10" max="10" width="13.85546875" customWidth="1"/>
    <col min="12" max="12" width="9.28515625" bestFit="1" customWidth="1"/>
    <col min="14" max="14" width="11" bestFit="1" customWidth="1"/>
    <col min="16" max="16" width="14.5703125" customWidth="1"/>
  </cols>
  <sheetData>
    <row r="3" spans="2:16" x14ac:dyDescent="0.2">
      <c r="B3" s="1" t="s">
        <v>15</v>
      </c>
      <c r="C3" s="1"/>
      <c r="D3" s="11"/>
      <c r="E3" s="2"/>
      <c r="F3" s="2"/>
      <c r="G3" s="2"/>
      <c r="H3" s="2"/>
      <c r="I3" s="2"/>
      <c r="J3" s="2"/>
      <c r="K3" s="2"/>
      <c r="L3" s="2"/>
      <c r="M3" s="2"/>
      <c r="N3" s="2"/>
      <c r="O3" s="59"/>
      <c r="P3" s="3"/>
    </row>
    <row r="4" spans="2:16" ht="13.5" thickBot="1" x14ac:dyDescent="0.25">
      <c r="B4" s="4" t="s">
        <v>34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60"/>
    </row>
    <row r="5" spans="2:16" s="100" customFormat="1" ht="12.75" customHeight="1" x14ac:dyDescent="0.2">
      <c r="B5" s="137" t="s">
        <v>13</v>
      </c>
      <c r="C5" s="138"/>
      <c r="D5" s="236" t="s">
        <v>1</v>
      </c>
      <c r="E5" s="139" t="s">
        <v>3</v>
      </c>
      <c r="F5" s="139"/>
      <c r="G5" s="139"/>
      <c r="H5" s="139"/>
      <c r="I5" s="260" t="s">
        <v>4</v>
      </c>
      <c r="J5" s="262" t="s">
        <v>32</v>
      </c>
      <c r="K5" s="264" t="s">
        <v>5</v>
      </c>
      <c r="L5" s="266" t="s">
        <v>6</v>
      </c>
      <c r="M5" s="262" t="s">
        <v>16</v>
      </c>
      <c r="N5" s="230" t="s">
        <v>7</v>
      </c>
      <c r="O5" s="258" t="s">
        <v>8</v>
      </c>
      <c r="P5" s="234" t="s">
        <v>20</v>
      </c>
    </row>
    <row r="6" spans="2:16" s="100" customFormat="1" ht="43.5" customHeight="1" thickBot="1" x14ac:dyDescent="0.25">
      <c r="B6" s="140" t="s">
        <v>14</v>
      </c>
      <c r="C6" s="141" t="s">
        <v>12</v>
      </c>
      <c r="D6" s="237"/>
      <c r="E6" s="144" t="s">
        <v>9</v>
      </c>
      <c r="F6" s="144" t="s">
        <v>10</v>
      </c>
      <c r="G6" s="144" t="s">
        <v>11</v>
      </c>
      <c r="H6" s="144" t="s">
        <v>2</v>
      </c>
      <c r="I6" s="261"/>
      <c r="J6" s="263"/>
      <c r="K6" s="265"/>
      <c r="L6" s="267"/>
      <c r="M6" s="268"/>
      <c r="N6" s="231"/>
      <c r="O6" s="259"/>
      <c r="P6" s="235"/>
    </row>
    <row r="7" spans="2:16" x14ac:dyDescent="0.2">
      <c r="B7" s="22">
        <v>2011</v>
      </c>
      <c r="C7" s="61">
        <v>1</v>
      </c>
      <c r="D7" s="63">
        <v>2061082.8599999999</v>
      </c>
      <c r="E7" s="64">
        <v>111624.29432</v>
      </c>
      <c r="F7" s="62">
        <v>3171.7809999999999</v>
      </c>
      <c r="G7" s="62">
        <v>5896.6289999999999</v>
      </c>
      <c r="H7" s="65">
        <v>120692.70432</v>
      </c>
      <c r="I7" s="62">
        <v>449829.97800000006</v>
      </c>
      <c r="J7" s="62"/>
      <c r="K7" s="62">
        <v>236009.89899999995</v>
      </c>
      <c r="L7" s="62">
        <v>4183.2379999999994</v>
      </c>
      <c r="M7" s="62">
        <v>2570.4659999999999</v>
      </c>
      <c r="N7" s="66">
        <v>2874369.1453200001</v>
      </c>
      <c r="O7" s="67">
        <v>88416.29</v>
      </c>
      <c r="P7" s="68">
        <v>2962785.4353200002</v>
      </c>
    </row>
    <row r="8" spans="2:16" x14ac:dyDescent="0.2">
      <c r="B8" s="69"/>
      <c r="C8" s="61">
        <v>2</v>
      </c>
      <c r="D8" s="63">
        <v>1741662.075</v>
      </c>
      <c r="E8" s="64">
        <v>476050.65459999989</v>
      </c>
      <c r="F8" s="62">
        <v>28147.231999999996</v>
      </c>
      <c r="G8" s="62">
        <v>10330.866000000002</v>
      </c>
      <c r="H8" s="65">
        <v>514528.75259999989</v>
      </c>
      <c r="I8" s="37">
        <v>90195.231</v>
      </c>
      <c r="J8" s="37">
        <v>362.73900000000003</v>
      </c>
      <c r="K8" s="37">
        <v>162868.07899999997</v>
      </c>
      <c r="L8" s="62">
        <v>19498.576999999994</v>
      </c>
      <c r="M8" s="62">
        <v>2805.7709999999997</v>
      </c>
      <c r="N8" s="66">
        <v>2531921.2245999998</v>
      </c>
      <c r="O8" s="70">
        <v>76066.436999999976</v>
      </c>
      <c r="P8" s="68">
        <v>2607987.6615999998</v>
      </c>
    </row>
    <row r="9" spans="2:16" x14ac:dyDescent="0.2">
      <c r="B9" s="69"/>
      <c r="C9" s="61">
        <v>3</v>
      </c>
      <c r="D9" s="63">
        <v>1878643.8889999997</v>
      </c>
      <c r="E9" s="64">
        <v>51175.116000000002</v>
      </c>
      <c r="F9" s="62">
        <v>3762.6989999999992</v>
      </c>
      <c r="G9" s="62">
        <v>199332.67900000006</v>
      </c>
      <c r="H9" s="65">
        <v>254270.49400000006</v>
      </c>
      <c r="I9" s="37">
        <v>37456.424000000006</v>
      </c>
      <c r="J9" s="37">
        <v>630.98199999999997</v>
      </c>
      <c r="K9" s="37">
        <v>196103.77900000001</v>
      </c>
      <c r="L9" s="62">
        <v>1874.4930000000002</v>
      </c>
      <c r="M9" s="66">
        <v>2805.2919999999999</v>
      </c>
      <c r="N9" s="66">
        <v>2371785.3529999997</v>
      </c>
      <c r="O9" s="71">
        <v>91195.369000000006</v>
      </c>
      <c r="P9" s="68">
        <v>2462980.7219999996</v>
      </c>
    </row>
    <row r="10" spans="2:16" x14ac:dyDescent="0.2">
      <c r="B10" s="69"/>
      <c r="C10" s="61">
        <v>4</v>
      </c>
      <c r="D10" s="63">
        <v>1973899.5399999996</v>
      </c>
      <c r="E10" s="64">
        <v>16735.523999999998</v>
      </c>
      <c r="F10" s="62">
        <v>1881.6269999999997</v>
      </c>
      <c r="G10" s="62">
        <v>17022.421000000002</v>
      </c>
      <c r="H10" s="65">
        <v>35639.572</v>
      </c>
      <c r="I10" s="62">
        <v>64768.173999999999</v>
      </c>
      <c r="J10" s="62">
        <v>1414.66</v>
      </c>
      <c r="K10" s="62">
        <v>222051.89699999997</v>
      </c>
      <c r="L10" s="62">
        <v>497.90500000000003</v>
      </c>
      <c r="M10" s="62">
        <v>2834.7339999999999</v>
      </c>
      <c r="N10" s="66">
        <v>2301106.4819999994</v>
      </c>
      <c r="O10" s="67">
        <v>96657.878000000012</v>
      </c>
      <c r="P10" s="68">
        <v>2397764.3599999994</v>
      </c>
    </row>
    <row r="11" spans="2:16" x14ac:dyDescent="0.2">
      <c r="B11" s="69"/>
      <c r="C11" s="61">
        <v>5</v>
      </c>
      <c r="D11" s="63">
        <v>2191516.3820000002</v>
      </c>
      <c r="E11" s="64">
        <v>35259.67</v>
      </c>
      <c r="F11" s="62">
        <v>2480.3320000000003</v>
      </c>
      <c r="G11" s="62">
        <v>10224.087</v>
      </c>
      <c r="H11" s="65">
        <v>47964.089</v>
      </c>
      <c r="I11" s="62">
        <v>262290.21800000005</v>
      </c>
      <c r="J11" s="62">
        <v>1676.2139999999999</v>
      </c>
      <c r="K11" s="62">
        <v>229284.16700000002</v>
      </c>
      <c r="L11" s="62">
        <v>1170.511</v>
      </c>
      <c r="M11" s="62">
        <v>2925.3710000000001</v>
      </c>
      <c r="N11" s="62">
        <v>2736826.9520000005</v>
      </c>
      <c r="O11" s="67">
        <v>118164.48699999999</v>
      </c>
      <c r="P11" s="68">
        <v>2854991.4390000007</v>
      </c>
    </row>
    <row r="12" spans="2:16" x14ac:dyDescent="0.2">
      <c r="B12" s="69"/>
      <c r="C12" s="61">
        <v>6</v>
      </c>
      <c r="D12" s="63">
        <v>2362182.8049999997</v>
      </c>
      <c r="E12" s="64">
        <v>135509.008</v>
      </c>
      <c r="F12" s="62">
        <v>7793.38</v>
      </c>
      <c r="G12" s="62">
        <v>19676.852999999999</v>
      </c>
      <c r="H12" s="65">
        <v>162979.24100000001</v>
      </c>
      <c r="I12" s="62">
        <v>90481.823000000004</v>
      </c>
      <c r="J12" s="62">
        <v>1870.3920000000001</v>
      </c>
      <c r="K12" s="62">
        <v>264146.10200000001</v>
      </c>
      <c r="L12" s="62">
        <v>4938.8839999999991</v>
      </c>
      <c r="M12" s="62">
        <v>2800.39</v>
      </c>
      <c r="N12" s="67">
        <v>2889399.6369999996</v>
      </c>
      <c r="O12" s="72">
        <v>118611.63999999998</v>
      </c>
      <c r="P12" s="68">
        <v>3008011.2769999998</v>
      </c>
    </row>
    <row r="13" spans="2:16" x14ac:dyDescent="0.2">
      <c r="B13" s="69"/>
      <c r="C13" s="61">
        <v>7</v>
      </c>
      <c r="D13" s="63">
        <v>2186917.7420000001</v>
      </c>
      <c r="E13" s="64">
        <v>42022.591000000008</v>
      </c>
      <c r="F13" s="62">
        <v>3600.9720000000002</v>
      </c>
      <c r="G13" s="62">
        <v>200403.45500000002</v>
      </c>
      <c r="H13" s="65">
        <v>246027.01800000004</v>
      </c>
      <c r="I13" s="62">
        <v>273629.85099999997</v>
      </c>
      <c r="J13" s="62">
        <v>2269.67</v>
      </c>
      <c r="K13" s="62">
        <v>273342.04000000004</v>
      </c>
      <c r="L13" s="62">
        <v>1442.1519999999996</v>
      </c>
      <c r="M13" s="62">
        <v>2688.0230000000006</v>
      </c>
      <c r="N13" s="62">
        <v>2986316.4960000003</v>
      </c>
      <c r="O13" s="70">
        <v>114843.22200000001</v>
      </c>
      <c r="P13" s="68">
        <v>3101159.7180000003</v>
      </c>
    </row>
    <row r="14" spans="2:16" x14ac:dyDescent="0.2">
      <c r="B14" s="69"/>
      <c r="C14" s="61">
        <v>8</v>
      </c>
      <c r="D14" s="63">
        <v>2307347.2989999996</v>
      </c>
      <c r="E14" s="64">
        <v>138519.549</v>
      </c>
      <c r="F14" s="62">
        <v>7882.2229999999981</v>
      </c>
      <c r="G14" s="62">
        <v>18881.954999999998</v>
      </c>
      <c r="H14" s="65">
        <v>165283.72699999998</v>
      </c>
      <c r="I14" s="62">
        <v>87571.644</v>
      </c>
      <c r="J14" s="62">
        <v>2627.7619999999997</v>
      </c>
      <c r="K14" s="62">
        <v>267584.07400000002</v>
      </c>
      <c r="L14" s="62">
        <v>5044.6869999999981</v>
      </c>
      <c r="M14" s="66">
        <v>2830.1670000000004</v>
      </c>
      <c r="N14" s="62">
        <v>2838289.3599999994</v>
      </c>
      <c r="O14" s="70">
        <v>108030.46300000002</v>
      </c>
      <c r="P14" s="68">
        <v>2946319.8229999994</v>
      </c>
    </row>
    <row r="15" spans="2:16" x14ac:dyDescent="0.2">
      <c r="B15" s="69"/>
      <c r="C15" s="61">
        <v>9</v>
      </c>
      <c r="D15" s="63">
        <v>2375390.7594999997</v>
      </c>
      <c r="E15" s="64">
        <v>47188.459000000003</v>
      </c>
      <c r="F15" s="62">
        <v>4066.6290000000008</v>
      </c>
      <c r="G15" s="62">
        <v>7120.237000000001</v>
      </c>
      <c r="H15" s="65">
        <v>58375.325000000004</v>
      </c>
      <c r="I15" s="62">
        <v>291323.5514</v>
      </c>
      <c r="J15" s="62">
        <v>2858.9920000000002</v>
      </c>
      <c r="K15" s="62">
        <v>281427.97099999996</v>
      </c>
      <c r="L15" s="62">
        <v>1608.7240000000002</v>
      </c>
      <c r="M15" s="62">
        <v>3127.2850000000003</v>
      </c>
      <c r="N15" s="62">
        <v>3014112.6078999997</v>
      </c>
      <c r="O15" s="67">
        <v>106403.42700000001</v>
      </c>
      <c r="P15" s="68">
        <v>3120516.0348999999</v>
      </c>
    </row>
    <row r="16" spans="2:16" x14ac:dyDescent="0.2">
      <c r="B16" s="69"/>
      <c r="C16" s="61">
        <v>10</v>
      </c>
      <c r="D16" s="63">
        <v>2269018.3009999995</v>
      </c>
      <c r="E16" s="64">
        <v>131103.19700000001</v>
      </c>
      <c r="F16" s="62">
        <v>8011.1640000000007</v>
      </c>
      <c r="G16" s="62">
        <v>17637.364999999998</v>
      </c>
      <c r="H16" s="65">
        <v>156751.726</v>
      </c>
      <c r="I16" s="62">
        <v>78228.313999999998</v>
      </c>
      <c r="J16" s="62">
        <v>2557.4469999999997</v>
      </c>
      <c r="K16" s="37">
        <v>275111.97600000002</v>
      </c>
      <c r="L16" s="37">
        <v>4722.7219999999988</v>
      </c>
      <c r="M16" s="37">
        <v>3149.6879999999996</v>
      </c>
      <c r="N16" s="62">
        <v>2789540.1739999996</v>
      </c>
      <c r="O16" s="73">
        <v>111009.84859999998</v>
      </c>
      <c r="P16" s="68">
        <v>2900550.0225999998</v>
      </c>
    </row>
    <row r="17" spans="2:16" x14ac:dyDescent="0.2">
      <c r="B17" s="69"/>
      <c r="C17" s="61">
        <v>11</v>
      </c>
      <c r="D17" s="63">
        <v>2345722.352</v>
      </c>
      <c r="E17" s="64">
        <v>44149.352000000006</v>
      </c>
      <c r="F17" s="62">
        <v>3491.5540000000001</v>
      </c>
      <c r="G17" s="62">
        <v>197135.63700000005</v>
      </c>
      <c r="H17" s="65">
        <v>244776.54300000006</v>
      </c>
      <c r="I17" s="62">
        <v>299633.91899999999</v>
      </c>
      <c r="J17" s="62">
        <v>3211.6049999999996</v>
      </c>
      <c r="K17" s="62">
        <v>254129.55500000002</v>
      </c>
      <c r="L17" s="62">
        <v>1457.633</v>
      </c>
      <c r="M17" s="62">
        <v>2721.5119999999997</v>
      </c>
      <c r="N17" s="62">
        <v>3151653.1189999999</v>
      </c>
      <c r="O17" s="41">
        <v>103124.83200000004</v>
      </c>
      <c r="P17" s="68">
        <v>3254777.9509999999</v>
      </c>
    </row>
    <row r="18" spans="2:16" ht="13.5" thickBot="1" x14ac:dyDescent="0.25">
      <c r="B18" s="69"/>
      <c r="C18" s="61">
        <v>12</v>
      </c>
      <c r="D18" s="63">
        <v>2506601.5380000006</v>
      </c>
      <c r="E18" s="64">
        <v>133948.42099999997</v>
      </c>
      <c r="F18" s="62">
        <v>2270.3710000000001</v>
      </c>
      <c r="G18" s="62">
        <v>18957.424999999999</v>
      </c>
      <c r="H18" s="65">
        <v>155176.21699999998</v>
      </c>
      <c r="I18" s="62">
        <v>129835.118</v>
      </c>
      <c r="J18" s="62">
        <v>6107.8270000000002</v>
      </c>
      <c r="K18" s="62">
        <v>294135.391</v>
      </c>
      <c r="L18" s="62">
        <v>4533.4339999999993</v>
      </c>
      <c r="M18" s="62">
        <v>2838.2339999999999</v>
      </c>
      <c r="N18" s="62">
        <v>3099227.7590000005</v>
      </c>
      <c r="O18" s="67">
        <v>114329.56299999999</v>
      </c>
      <c r="P18" s="68">
        <v>3213557.3220000006</v>
      </c>
    </row>
    <row r="19" spans="2:16" ht="13.5" thickBot="1" x14ac:dyDescent="0.25">
      <c r="B19" s="217" t="s">
        <v>18</v>
      </c>
      <c r="C19" s="218"/>
      <c r="D19" s="152">
        <v>26199985.542500004</v>
      </c>
      <c r="E19" s="152">
        <v>1363285.83592</v>
      </c>
      <c r="F19" s="152">
        <v>76559.963999999993</v>
      </c>
      <c r="G19" s="152">
        <v>722619.60900000017</v>
      </c>
      <c r="H19" s="152">
        <v>2162465.4089200003</v>
      </c>
      <c r="I19" s="152">
        <v>2155244.2453999999</v>
      </c>
      <c r="J19" s="152">
        <v>25588.289999999997</v>
      </c>
      <c r="K19" s="152">
        <v>2956194.93</v>
      </c>
      <c r="L19" s="152">
        <v>50972.959999999992</v>
      </c>
      <c r="M19" s="152">
        <v>34096.932999999997</v>
      </c>
      <c r="N19" s="152">
        <v>33584548.309820004</v>
      </c>
      <c r="O19" s="152">
        <v>1246853.4566000002</v>
      </c>
      <c r="P19" s="152">
        <v>34831401.766419999</v>
      </c>
    </row>
    <row r="20" spans="2:16" x14ac:dyDescent="0.2">
      <c r="B20" s="21" t="s">
        <v>19</v>
      </c>
      <c r="C20" s="55"/>
      <c r="D20" s="56"/>
      <c r="E20" s="56"/>
      <c r="F20" s="57"/>
      <c r="G20" s="74"/>
      <c r="H20" s="74"/>
      <c r="I20" s="74"/>
      <c r="J20" s="74"/>
      <c r="K20" s="74"/>
      <c r="L20" s="74"/>
      <c r="M20" s="74"/>
      <c r="N20" s="74"/>
      <c r="O20" s="74"/>
      <c r="P20" s="74"/>
    </row>
  </sheetData>
  <mergeCells count="10">
    <mergeCell ref="D5:D6"/>
    <mergeCell ref="O5:O6"/>
    <mergeCell ref="P5:P6"/>
    <mergeCell ref="B19:C19"/>
    <mergeCell ref="I5:I6"/>
    <mergeCell ref="J5:J6"/>
    <mergeCell ref="K5:K6"/>
    <mergeCell ref="L5:L6"/>
    <mergeCell ref="M5:M6"/>
    <mergeCell ref="N5:N6"/>
  </mergeCells>
  <conditionalFormatting sqref="K9:O11 K7:P8 J12:O12 J7:J11 P9:P12 J13:P19 I17:J17 B19:C19 D7:I19">
    <cfRule type="cellIs" dxfId="19" priority="6" stopIfTrue="1" operator="equal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workbookViewId="0">
      <selection activeCell="J30" sqref="J30"/>
    </sheetView>
  </sheetViews>
  <sheetFormatPr baseColWidth="10" defaultRowHeight="13.5" customHeight="1" x14ac:dyDescent="0.2"/>
  <cols>
    <col min="1" max="1" width="6.140625" customWidth="1"/>
    <col min="2" max="2" width="10.7109375" customWidth="1"/>
    <col min="3" max="3" width="11.5703125" customWidth="1"/>
    <col min="4" max="4" width="14.42578125" customWidth="1"/>
    <col min="5" max="5" width="11.28515625" bestFit="1" customWidth="1"/>
    <col min="6" max="6" width="7.85546875" bestFit="1" customWidth="1"/>
    <col min="7" max="7" width="7.5703125" bestFit="1" customWidth="1"/>
    <col min="8" max="9" width="9.140625" bestFit="1" customWidth="1"/>
    <col min="10" max="10" width="14.42578125" customWidth="1"/>
    <col min="11" max="11" width="9.140625" bestFit="1" customWidth="1"/>
    <col min="12" max="12" width="9" customWidth="1"/>
    <col min="13" max="13" width="13" customWidth="1"/>
    <col min="15" max="15" width="12.42578125" customWidth="1"/>
    <col min="16" max="16" width="14.42578125" customWidth="1"/>
  </cols>
  <sheetData>
    <row r="1" spans="1:18" ht="12.75" customHeight="1" x14ac:dyDescent="0.2"/>
    <row r="2" spans="1:18" ht="12.75" customHeight="1" x14ac:dyDescent="0.2">
      <c r="B2" s="31"/>
      <c r="C2" s="31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3"/>
      <c r="P2" s="33"/>
    </row>
    <row r="3" spans="1:18" ht="12.75" customHeight="1" x14ac:dyDescent="0.2">
      <c r="A3" t="s">
        <v>0</v>
      </c>
      <c r="B3" s="1" t="s">
        <v>15</v>
      </c>
      <c r="C3" s="1"/>
      <c r="D3" s="11"/>
      <c r="E3" s="2"/>
      <c r="F3" s="2"/>
      <c r="G3" s="2"/>
      <c r="H3" s="2"/>
      <c r="I3" s="2"/>
      <c r="J3" s="2"/>
      <c r="K3" s="2"/>
      <c r="L3" s="2"/>
      <c r="M3" s="2"/>
      <c r="N3" s="2"/>
      <c r="O3" s="34"/>
      <c r="P3" s="3"/>
    </row>
    <row r="4" spans="1:18" ht="12.75" customHeight="1" thickBot="1" x14ac:dyDescent="0.25">
      <c r="B4" s="4" t="s">
        <v>33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35"/>
    </row>
    <row r="5" spans="1:18" s="100" customFormat="1" ht="12.75" customHeight="1" x14ac:dyDescent="0.2">
      <c r="B5" s="137" t="s">
        <v>13</v>
      </c>
      <c r="C5" s="138"/>
      <c r="D5" s="236" t="s">
        <v>1</v>
      </c>
      <c r="E5" s="139" t="s">
        <v>3</v>
      </c>
      <c r="F5" s="139"/>
      <c r="G5" s="139"/>
      <c r="H5" s="139"/>
      <c r="I5" s="238" t="s">
        <v>4</v>
      </c>
      <c r="J5" s="240" t="s">
        <v>32</v>
      </c>
      <c r="K5" s="242" t="s">
        <v>5</v>
      </c>
      <c r="L5" s="244" t="s">
        <v>6</v>
      </c>
      <c r="M5" s="240" t="s">
        <v>16</v>
      </c>
      <c r="N5" s="230" t="s">
        <v>7</v>
      </c>
      <c r="O5" s="232" t="s">
        <v>8</v>
      </c>
      <c r="P5" s="234" t="s">
        <v>20</v>
      </c>
    </row>
    <row r="6" spans="1:18" s="100" customFormat="1" ht="43.5" customHeight="1" thickBot="1" x14ac:dyDescent="0.25">
      <c r="B6" s="140" t="s">
        <v>14</v>
      </c>
      <c r="C6" s="141" t="s">
        <v>12</v>
      </c>
      <c r="D6" s="237"/>
      <c r="E6" s="143" t="s">
        <v>9</v>
      </c>
      <c r="F6" s="143" t="s">
        <v>10</v>
      </c>
      <c r="G6" s="143" t="s">
        <v>11</v>
      </c>
      <c r="H6" s="143" t="s">
        <v>2</v>
      </c>
      <c r="I6" s="239"/>
      <c r="J6" s="241"/>
      <c r="K6" s="243"/>
      <c r="L6" s="245"/>
      <c r="M6" s="246"/>
      <c r="N6" s="231"/>
      <c r="O6" s="233"/>
      <c r="P6" s="235"/>
    </row>
    <row r="7" spans="1:18" ht="12.75" customHeight="1" x14ac:dyDescent="0.2">
      <c r="B7" s="22">
        <v>2010</v>
      </c>
      <c r="C7" s="36">
        <v>1</v>
      </c>
      <c r="D7" s="38">
        <v>1496854.7871999999</v>
      </c>
      <c r="E7" s="39">
        <v>47924.903999999995</v>
      </c>
      <c r="F7" s="37">
        <v>1109.154</v>
      </c>
      <c r="G7" s="37">
        <v>4841.6439999999993</v>
      </c>
      <c r="H7" s="40">
        <v>53875.701999999997</v>
      </c>
      <c r="I7" s="37">
        <v>331306.245</v>
      </c>
      <c r="J7" s="37">
        <v>0</v>
      </c>
      <c r="K7" s="37">
        <v>144160.59599999999</v>
      </c>
      <c r="L7" s="37">
        <v>1666.135</v>
      </c>
      <c r="M7" s="37">
        <v>2157.8859999999995</v>
      </c>
      <c r="N7" s="40">
        <v>2030021.3511999999</v>
      </c>
      <c r="O7" s="41">
        <v>85627.843000000008</v>
      </c>
      <c r="P7" s="42">
        <v>2115649.1941999998</v>
      </c>
      <c r="Q7" s="43"/>
      <c r="R7" s="43"/>
    </row>
    <row r="8" spans="1:18" ht="12.75" customHeight="1" x14ac:dyDescent="0.2">
      <c r="B8" s="44"/>
      <c r="C8" s="36">
        <v>2</v>
      </c>
      <c r="D8" s="38">
        <v>1404818.923</v>
      </c>
      <c r="E8" s="39">
        <v>395422.07199999993</v>
      </c>
      <c r="F8" s="37">
        <v>23934.998999999996</v>
      </c>
      <c r="G8" s="37">
        <v>4208.63</v>
      </c>
      <c r="H8" s="40">
        <v>423565.70099999994</v>
      </c>
      <c r="I8" s="37">
        <v>67040.321999999986</v>
      </c>
      <c r="J8" s="37"/>
      <c r="K8" s="37">
        <v>113748.03399999999</v>
      </c>
      <c r="L8" s="37">
        <v>16334.644999999999</v>
      </c>
      <c r="M8" s="37">
        <v>2236.163</v>
      </c>
      <c r="N8" s="37">
        <v>2027743.7879999997</v>
      </c>
      <c r="O8" s="45">
        <v>67113.795000000013</v>
      </c>
      <c r="P8" s="46">
        <v>2094857.5829999996</v>
      </c>
      <c r="Q8" s="43"/>
      <c r="R8" s="43"/>
    </row>
    <row r="9" spans="1:18" ht="12.75" customHeight="1" x14ac:dyDescent="0.2">
      <c r="B9" s="44"/>
      <c r="C9" s="36">
        <v>3</v>
      </c>
      <c r="D9" s="38">
        <v>1533333.9021999999</v>
      </c>
      <c r="E9" s="39">
        <v>48029.064000000006</v>
      </c>
      <c r="F9" s="37">
        <v>6013.7040000000006</v>
      </c>
      <c r="G9" s="37">
        <v>152747.32800000001</v>
      </c>
      <c r="H9" s="40">
        <v>206790.09600000002</v>
      </c>
      <c r="I9" s="37">
        <v>36383.08</v>
      </c>
      <c r="J9" s="37"/>
      <c r="K9" s="37">
        <v>135100.74</v>
      </c>
      <c r="L9" s="37">
        <v>1757.6889999999999</v>
      </c>
      <c r="M9" s="47">
        <v>2351.1929999999998</v>
      </c>
      <c r="N9" s="48">
        <v>1915716.7001999998</v>
      </c>
      <c r="O9" s="49">
        <v>68179.007000000012</v>
      </c>
      <c r="P9" s="50">
        <v>1983895.7071999998</v>
      </c>
      <c r="R9" s="43"/>
    </row>
    <row r="10" spans="1:18" ht="12.75" customHeight="1" x14ac:dyDescent="0.2">
      <c r="B10" s="44"/>
      <c r="C10" s="36">
        <v>4</v>
      </c>
      <c r="D10" s="38">
        <v>1609579.8280000002</v>
      </c>
      <c r="E10" s="39">
        <v>14781.010999999997</v>
      </c>
      <c r="F10" s="37">
        <v>7009.0409999999993</v>
      </c>
      <c r="G10" s="37">
        <v>14158.895</v>
      </c>
      <c r="H10" s="40">
        <v>35948.947</v>
      </c>
      <c r="I10" s="37">
        <v>57171.764500000012</v>
      </c>
      <c r="J10" s="37"/>
      <c r="K10" s="37">
        <v>149718.804</v>
      </c>
      <c r="L10" s="37">
        <v>629.29100000000005</v>
      </c>
      <c r="M10" s="37">
        <v>2725.8290000000002</v>
      </c>
      <c r="N10" s="47">
        <v>1855774.4635000003</v>
      </c>
      <c r="O10" s="41">
        <v>88619.44</v>
      </c>
      <c r="P10" s="51">
        <v>1944393.9035000002</v>
      </c>
      <c r="Q10" s="43"/>
      <c r="R10" s="43"/>
    </row>
    <row r="11" spans="1:18" ht="12.75" customHeight="1" x14ac:dyDescent="0.2">
      <c r="B11" s="44"/>
      <c r="C11" s="36">
        <v>5</v>
      </c>
      <c r="D11" s="38">
        <v>1479348.9219999998</v>
      </c>
      <c r="E11" s="39">
        <v>21230.003999999997</v>
      </c>
      <c r="F11" s="37">
        <v>2569.3459999999995</v>
      </c>
      <c r="G11" s="37">
        <v>5964.78</v>
      </c>
      <c r="H11" s="40">
        <v>29764.129999999997</v>
      </c>
      <c r="I11" s="37">
        <v>183854.99599999998</v>
      </c>
      <c r="J11" s="37"/>
      <c r="K11" s="37">
        <v>155502.99</v>
      </c>
      <c r="L11" s="37">
        <v>750.44600000000003</v>
      </c>
      <c r="M11" s="37">
        <v>2335.7600000000002</v>
      </c>
      <c r="N11" s="37">
        <v>1851557.2439999997</v>
      </c>
      <c r="O11" s="41">
        <v>87577.945940000005</v>
      </c>
      <c r="P11" s="51">
        <v>1939135.1899399997</v>
      </c>
      <c r="Q11" s="43"/>
      <c r="R11" s="43"/>
    </row>
    <row r="12" spans="1:18" ht="12.75" customHeight="1" x14ac:dyDescent="0.2">
      <c r="B12" s="44"/>
      <c r="C12" s="36">
        <v>6</v>
      </c>
      <c r="D12" s="38">
        <v>1649712.0079999999</v>
      </c>
      <c r="E12" s="39">
        <v>104876.44700000001</v>
      </c>
      <c r="F12" s="37">
        <v>6766.6580000000004</v>
      </c>
      <c r="G12" s="37">
        <v>18389.935000000001</v>
      </c>
      <c r="H12" s="40">
        <v>130033.04000000001</v>
      </c>
      <c r="I12" s="37">
        <v>60805.046000000002</v>
      </c>
      <c r="J12" s="37"/>
      <c r="K12" s="37">
        <v>152075.28899999999</v>
      </c>
      <c r="L12" s="37">
        <v>3864.8960000000002</v>
      </c>
      <c r="M12" s="37">
        <v>2350.4869999999996</v>
      </c>
      <c r="N12" s="37">
        <v>1998840.7659999998</v>
      </c>
      <c r="O12" s="41">
        <v>99432.951000000015</v>
      </c>
      <c r="P12" s="51">
        <v>2098273.7169999997</v>
      </c>
      <c r="Q12" s="43"/>
      <c r="R12" s="43"/>
    </row>
    <row r="13" spans="1:18" ht="12.75" customHeight="1" x14ac:dyDescent="0.2">
      <c r="B13" s="44"/>
      <c r="C13" s="36">
        <v>7</v>
      </c>
      <c r="D13" s="38">
        <v>1717420.1420000002</v>
      </c>
      <c r="E13" s="39">
        <v>37912.337999999989</v>
      </c>
      <c r="F13" s="37">
        <v>2882.2290000000012</v>
      </c>
      <c r="G13" s="37">
        <v>148428.51600000003</v>
      </c>
      <c r="H13" s="40">
        <v>189223.08300000001</v>
      </c>
      <c r="I13" s="37">
        <v>194491.39900000003</v>
      </c>
      <c r="J13" s="37"/>
      <c r="K13" s="37">
        <v>162933.413</v>
      </c>
      <c r="L13" s="37">
        <v>1312.1390000000004</v>
      </c>
      <c r="M13" s="37">
        <v>2442.7539999999999</v>
      </c>
      <c r="N13" s="37">
        <v>2267822.9300000002</v>
      </c>
      <c r="O13" s="45">
        <v>89372.453000000009</v>
      </c>
      <c r="P13" s="51">
        <v>2357195.3830000004</v>
      </c>
      <c r="Q13" s="43"/>
      <c r="R13" s="43"/>
    </row>
    <row r="14" spans="1:18" ht="12.75" customHeight="1" x14ac:dyDescent="0.2">
      <c r="B14" s="44"/>
      <c r="C14" s="36">
        <v>8</v>
      </c>
      <c r="D14" s="38">
        <v>1645131.5349999997</v>
      </c>
      <c r="E14" s="39">
        <v>95091.415999999997</v>
      </c>
      <c r="F14" s="37">
        <v>1958.9810000000002</v>
      </c>
      <c r="G14" s="37">
        <v>14644.898000000001</v>
      </c>
      <c r="H14" s="40">
        <v>111695.295</v>
      </c>
      <c r="I14" s="37">
        <v>77245.045000000013</v>
      </c>
      <c r="J14" s="37"/>
      <c r="K14" s="37">
        <v>185968.79900000003</v>
      </c>
      <c r="L14" s="37">
        <v>3325.27</v>
      </c>
      <c r="M14" s="47">
        <v>2550.9780000000001</v>
      </c>
      <c r="N14" s="37">
        <v>2025916.9219999998</v>
      </c>
      <c r="O14" s="45">
        <v>97512.146999999983</v>
      </c>
      <c r="P14" s="51">
        <v>2123429.0689999997</v>
      </c>
      <c r="R14" s="43"/>
    </row>
    <row r="15" spans="1:18" ht="12.75" customHeight="1" x14ac:dyDescent="0.2">
      <c r="B15" s="44"/>
      <c r="C15" s="36">
        <v>9</v>
      </c>
      <c r="D15" s="38">
        <v>1750945.0390000001</v>
      </c>
      <c r="E15" s="39">
        <v>50917.46</v>
      </c>
      <c r="F15" s="37">
        <v>2697.14</v>
      </c>
      <c r="G15" s="37">
        <v>21160.530999999995</v>
      </c>
      <c r="H15" s="40">
        <v>74775.130999999994</v>
      </c>
      <c r="I15" s="37">
        <v>196472.56899999999</v>
      </c>
      <c r="J15" s="37"/>
      <c r="K15" s="37">
        <v>176711.43100000001</v>
      </c>
      <c r="L15" s="37">
        <v>1726.8930000000003</v>
      </c>
      <c r="M15" s="37">
        <v>2648.7519999999995</v>
      </c>
      <c r="N15" s="37">
        <v>2203279.8149999999</v>
      </c>
      <c r="O15" s="41">
        <v>127608.432</v>
      </c>
      <c r="P15" s="51">
        <v>2330888.247</v>
      </c>
      <c r="Q15" s="43"/>
      <c r="R15" s="43"/>
    </row>
    <row r="16" spans="1:18" ht="12.75" customHeight="1" x14ac:dyDescent="0.2">
      <c r="B16" s="44"/>
      <c r="C16" s="36">
        <v>10</v>
      </c>
      <c r="D16" s="38">
        <v>1661973.8560000001</v>
      </c>
      <c r="E16" s="39">
        <v>85999.377999999997</v>
      </c>
      <c r="F16" s="37">
        <v>5837.4259999999986</v>
      </c>
      <c r="G16" s="37">
        <v>20433.554</v>
      </c>
      <c r="H16" s="40">
        <v>112270.35799999999</v>
      </c>
      <c r="I16" s="37">
        <v>71930.783999999985</v>
      </c>
      <c r="J16" s="37"/>
      <c r="K16" s="37">
        <v>178486.87299999999</v>
      </c>
      <c r="L16" s="37">
        <v>3084.8169999999991</v>
      </c>
      <c r="M16" s="37">
        <v>2627.3529999999996</v>
      </c>
      <c r="N16" s="37">
        <v>2030374.0410000002</v>
      </c>
      <c r="O16" s="41">
        <v>94637.994000000006</v>
      </c>
      <c r="P16" s="51">
        <v>2125012.0350000001</v>
      </c>
      <c r="Q16" s="43"/>
      <c r="R16" s="43"/>
    </row>
    <row r="17" spans="1:18" ht="12.75" customHeight="1" x14ac:dyDescent="0.2">
      <c r="B17" s="44"/>
      <c r="C17" s="36">
        <v>11</v>
      </c>
      <c r="D17" s="38">
        <v>1852287.1640000001</v>
      </c>
      <c r="E17" s="39">
        <v>39102.738999999994</v>
      </c>
      <c r="F17" s="37">
        <v>2431.2309999999993</v>
      </c>
      <c r="G17" s="37">
        <v>159869.57400000005</v>
      </c>
      <c r="H17" s="40">
        <v>201403.54400000005</v>
      </c>
      <c r="I17" s="37">
        <v>203851.185</v>
      </c>
      <c r="J17" s="37"/>
      <c r="K17" s="37">
        <v>183221.52700000003</v>
      </c>
      <c r="L17" s="37">
        <v>1297.577</v>
      </c>
      <c r="M17" s="37">
        <v>1467.0029999999997</v>
      </c>
      <c r="N17" s="37">
        <v>2443528</v>
      </c>
      <c r="O17" s="41">
        <v>95870.499000000011</v>
      </c>
      <c r="P17" s="51">
        <v>2539398.4989999998</v>
      </c>
      <c r="Q17" s="43"/>
      <c r="R17" s="43"/>
    </row>
    <row r="18" spans="1:18" ht="12.75" customHeight="1" thickBot="1" x14ac:dyDescent="0.25">
      <c r="B18" s="44"/>
      <c r="C18" s="36">
        <v>12</v>
      </c>
      <c r="D18" s="52">
        <v>1871920.9959999998</v>
      </c>
      <c r="E18" s="39">
        <v>94797.614000000031</v>
      </c>
      <c r="F18" s="37">
        <v>1769.2930000000003</v>
      </c>
      <c r="G18" s="37">
        <v>15875.210000000003</v>
      </c>
      <c r="H18" s="53">
        <v>112442.11700000004</v>
      </c>
      <c r="I18" s="37">
        <v>121113.197</v>
      </c>
      <c r="J18" s="37"/>
      <c r="K18" s="37">
        <v>207838.73199999999</v>
      </c>
      <c r="L18" s="37">
        <v>3206.4760000000006</v>
      </c>
      <c r="M18" s="37">
        <v>3494.3389999999999</v>
      </c>
      <c r="N18" s="37">
        <v>2320015.8569999998</v>
      </c>
      <c r="O18" s="41">
        <v>86589.212000000029</v>
      </c>
      <c r="P18" s="51">
        <v>2406605.0689999997</v>
      </c>
      <c r="Q18" s="43"/>
      <c r="R18" s="43"/>
    </row>
    <row r="19" spans="1:18" ht="12.75" customHeight="1" thickBot="1" x14ac:dyDescent="0.25">
      <c r="A19" s="43"/>
      <c r="B19" s="217" t="s">
        <v>18</v>
      </c>
      <c r="C19" s="218"/>
      <c r="D19" s="152">
        <v>19673327.102400001</v>
      </c>
      <c r="E19" s="152">
        <v>1036084.4469999999</v>
      </c>
      <c r="F19" s="152">
        <v>64979.20199999999</v>
      </c>
      <c r="G19" s="152">
        <v>580723.495</v>
      </c>
      <c r="H19" s="152">
        <v>1681787.1440000001</v>
      </c>
      <c r="I19" s="152">
        <v>1601665.6325000001</v>
      </c>
      <c r="J19" s="152">
        <v>0</v>
      </c>
      <c r="K19" s="152">
        <v>1945467.2280000001</v>
      </c>
      <c r="L19" s="152">
        <v>38956.273999999998</v>
      </c>
      <c r="M19" s="152">
        <v>29388.496999999996</v>
      </c>
      <c r="N19" s="152">
        <v>24970591.877900001</v>
      </c>
      <c r="O19" s="152">
        <v>1088141.7189400003</v>
      </c>
      <c r="P19" s="152">
        <v>26058733.596839994</v>
      </c>
      <c r="Q19" s="43"/>
    </row>
    <row r="20" spans="1:18" s="54" customFormat="1" ht="12.75" customHeight="1" x14ac:dyDescent="0.2">
      <c r="B20" s="21" t="s">
        <v>19</v>
      </c>
      <c r="C20" s="55"/>
      <c r="D20" s="56"/>
      <c r="E20" s="56"/>
      <c r="F20" s="57"/>
    </row>
    <row r="21" spans="1:18" s="32" customFormat="1" ht="12.75" customHeight="1" x14ac:dyDescent="0.2">
      <c r="C21" s="21"/>
      <c r="D21" s="31"/>
      <c r="E21" s="58"/>
      <c r="F21" s="33"/>
    </row>
    <row r="22" spans="1:18" ht="12.75" customHeight="1" x14ac:dyDescent="0.2"/>
    <row r="23" spans="1:18" ht="12.75" customHeight="1" x14ac:dyDescent="0.2"/>
  </sheetData>
  <mergeCells count="10">
    <mergeCell ref="D5:D6"/>
    <mergeCell ref="O5:O6"/>
    <mergeCell ref="P5:P6"/>
    <mergeCell ref="B19:C19"/>
    <mergeCell ref="I5:I6"/>
    <mergeCell ref="J5:J6"/>
    <mergeCell ref="K5:K6"/>
    <mergeCell ref="L5:L6"/>
    <mergeCell ref="M5:M6"/>
    <mergeCell ref="N5:N6"/>
  </mergeCells>
  <conditionalFormatting sqref="K7:P8 P10:P19 K9:O19 B19:C19 D7:J19">
    <cfRule type="cellIs" dxfId="18" priority="3" stopIfTrue="1" operator="equal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20"/>
  <sheetViews>
    <sheetView workbookViewId="0">
      <selection activeCell="J30" sqref="J30"/>
    </sheetView>
  </sheetViews>
  <sheetFormatPr baseColWidth="10" defaultRowHeight="12.75" x14ac:dyDescent="0.2"/>
  <cols>
    <col min="1" max="1" width="4.140625" customWidth="1"/>
    <col min="4" max="4" width="14.42578125" customWidth="1"/>
    <col min="5" max="5" width="10.85546875" bestFit="1" customWidth="1"/>
    <col min="6" max="6" width="7.7109375" bestFit="1" customWidth="1"/>
    <col min="7" max="7" width="7.5703125" bestFit="1" customWidth="1"/>
    <col min="8" max="10" width="9.140625" bestFit="1" customWidth="1"/>
    <col min="11" max="11" width="9.28515625" bestFit="1" customWidth="1"/>
    <col min="12" max="12" width="12.5703125" customWidth="1"/>
    <col min="15" max="15" width="14.7109375" customWidth="1"/>
  </cols>
  <sheetData>
    <row r="3" spans="1:15" ht="13.5" customHeight="1" x14ac:dyDescent="0.2">
      <c r="A3" t="s">
        <v>0</v>
      </c>
      <c r="B3" s="1" t="s">
        <v>15</v>
      </c>
      <c r="C3" s="1"/>
      <c r="D3" s="11"/>
      <c r="E3" s="2"/>
      <c r="F3" s="2"/>
      <c r="G3" s="2"/>
      <c r="H3" s="2"/>
      <c r="I3" s="2"/>
      <c r="J3" s="2"/>
      <c r="K3" s="2"/>
      <c r="L3" s="2"/>
      <c r="M3" s="2"/>
      <c r="N3" s="10"/>
      <c r="O3" s="3"/>
    </row>
    <row r="4" spans="1:15" ht="13.5" customHeight="1" thickBot="1" x14ac:dyDescent="0.25">
      <c r="B4" s="4" t="s">
        <v>23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6"/>
    </row>
    <row r="5" spans="1:15" s="100" customFormat="1" ht="12.75" customHeight="1" x14ac:dyDescent="0.2">
      <c r="B5" s="137" t="s">
        <v>13</v>
      </c>
      <c r="C5" s="138"/>
      <c r="D5" s="236" t="s">
        <v>1</v>
      </c>
      <c r="E5" s="139" t="s">
        <v>3</v>
      </c>
      <c r="F5" s="139"/>
      <c r="G5" s="139"/>
      <c r="H5" s="139"/>
      <c r="I5" s="271" t="s">
        <v>4</v>
      </c>
      <c r="J5" s="271" t="s">
        <v>5</v>
      </c>
      <c r="K5" s="273" t="s">
        <v>6</v>
      </c>
      <c r="L5" s="271" t="s">
        <v>16</v>
      </c>
      <c r="M5" s="275" t="s">
        <v>7</v>
      </c>
      <c r="N5" s="277" t="s">
        <v>8</v>
      </c>
      <c r="O5" s="269" t="s">
        <v>20</v>
      </c>
    </row>
    <row r="6" spans="1:15" s="100" customFormat="1" ht="43.5" customHeight="1" thickBot="1" x14ac:dyDescent="0.25">
      <c r="B6" s="140" t="s">
        <v>14</v>
      </c>
      <c r="C6" s="141" t="s">
        <v>12</v>
      </c>
      <c r="D6" s="237"/>
      <c r="E6" s="142" t="s">
        <v>9</v>
      </c>
      <c r="F6" s="142" t="s">
        <v>10</v>
      </c>
      <c r="G6" s="142" t="s">
        <v>11</v>
      </c>
      <c r="H6" s="142" t="s">
        <v>2</v>
      </c>
      <c r="I6" s="272"/>
      <c r="J6" s="272"/>
      <c r="K6" s="274"/>
      <c r="L6" s="272"/>
      <c r="M6" s="276"/>
      <c r="N6" s="278"/>
      <c r="O6" s="270"/>
    </row>
    <row r="7" spans="1:15" x14ac:dyDescent="0.2">
      <c r="B7" s="22">
        <v>2009</v>
      </c>
      <c r="C7" s="16">
        <v>1</v>
      </c>
      <c r="D7" s="12">
        <v>1194441.9081000001</v>
      </c>
      <c r="E7" s="15">
        <v>65197.115000000005</v>
      </c>
      <c r="F7" s="8">
        <v>1199.1579999999999</v>
      </c>
      <c r="G7" s="8">
        <v>3430.8760000000002</v>
      </c>
      <c r="H7" s="9">
        <v>69827.149000000005</v>
      </c>
      <c r="I7" s="8">
        <v>294911.29799999995</v>
      </c>
      <c r="J7" s="8">
        <v>112764.79700000001</v>
      </c>
      <c r="K7" s="8">
        <v>2453.0570000000002</v>
      </c>
      <c r="L7" s="8">
        <v>2249.509</v>
      </c>
      <c r="M7" s="9">
        <v>1676647.7181000002</v>
      </c>
      <c r="N7" s="17">
        <v>74932.352999999988</v>
      </c>
      <c r="O7" s="18">
        <v>1751580.0711000001</v>
      </c>
    </row>
    <row r="8" spans="1:15" x14ac:dyDescent="0.2">
      <c r="B8" s="25"/>
      <c r="C8" s="16">
        <v>2</v>
      </c>
      <c r="D8" s="12">
        <v>1086258.3310862149</v>
      </c>
      <c r="E8" s="15">
        <v>322643.842</v>
      </c>
      <c r="F8" s="8">
        <v>15791.715000000002</v>
      </c>
      <c r="G8" s="8">
        <v>2105.8530000000001</v>
      </c>
      <c r="H8" s="9">
        <v>340541.41</v>
      </c>
      <c r="I8" s="8">
        <v>47321.396000000001</v>
      </c>
      <c r="J8" s="8">
        <v>93947.70199999999</v>
      </c>
      <c r="K8" s="8">
        <v>13315.778999999999</v>
      </c>
      <c r="L8" s="8">
        <v>2520.5990000000002</v>
      </c>
      <c r="M8" s="20">
        <v>1583905.217086215</v>
      </c>
      <c r="N8" s="17">
        <v>71003.721999999994</v>
      </c>
      <c r="O8" s="18">
        <v>1654908.9390862151</v>
      </c>
    </row>
    <row r="9" spans="1:15" x14ac:dyDescent="0.2">
      <c r="B9" s="25"/>
      <c r="C9" s="16">
        <v>3</v>
      </c>
      <c r="D9" s="12">
        <v>1158844.76270012</v>
      </c>
      <c r="E9" s="15">
        <v>38756.877</v>
      </c>
      <c r="F9" s="8">
        <v>3222.982</v>
      </c>
      <c r="G9" s="8">
        <v>115113.845</v>
      </c>
      <c r="H9" s="9">
        <v>157093.704</v>
      </c>
      <c r="I9" s="8">
        <v>19132.03</v>
      </c>
      <c r="J9" s="8">
        <v>90261.519000000029</v>
      </c>
      <c r="K9" s="8">
        <v>1427.135</v>
      </c>
      <c r="L9" s="8">
        <v>2528.857</v>
      </c>
      <c r="M9" s="20">
        <v>1429288.0077001201</v>
      </c>
      <c r="N9" s="17">
        <v>115459.446</v>
      </c>
      <c r="O9" s="18">
        <v>1544747.4537001201</v>
      </c>
    </row>
    <row r="10" spans="1:15" x14ac:dyDescent="0.2">
      <c r="B10" s="25"/>
      <c r="C10" s="16">
        <v>4</v>
      </c>
      <c r="D10" s="12">
        <v>1418305.0060000001</v>
      </c>
      <c r="E10" s="15">
        <v>12996.257999999998</v>
      </c>
      <c r="F10" s="8">
        <v>4225.5079999999998</v>
      </c>
      <c r="G10" s="8">
        <v>9641.6029999999992</v>
      </c>
      <c r="H10" s="9">
        <v>26863.368999999995</v>
      </c>
      <c r="I10" s="8">
        <v>41874.521000000008</v>
      </c>
      <c r="J10" s="8">
        <v>95872.396999999997</v>
      </c>
      <c r="K10" s="8">
        <v>473.47799999999995</v>
      </c>
      <c r="L10" s="8">
        <v>2559.7340000000004</v>
      </c>
      <c r="M10" s="20">
        <v>1585948.5050000001</v>
      </c>
      <c r="N10" s="17">
        <v>103801.651</v>
      </c>
      <c r="O10" s="18">
        <v>1689750.1560000002</v>
      </c>
    </row>
    <row r="11" spans="1:15" x14ac:dyDescent="0.2">
      <c r="B11" s="25"/>
      <c r="C11" s="16">
        <v>5</v>
      </c>
      <c r="D11" s="12">
        <v>1274071.9359999998</v>
      </c>
      <c r="E11" s="15">
        <v>7021.7849999999999</v>
      </c>
      <c r="F11" s="8">
        <v>1807.2619999999999</v>
      </c>
      <c r="G11" s="8">
        <v>4259.6179999999995</v>
      </c>
      <c r="H11" s="9">
        <v>13088.665000000001</v>
      </c>
      <c r="I11" s="8">
        <v>160868.20199999999</v>
      </c>
      <c r="J11" s="8">
        <v>104664.89799999999</v>
      </c>
      <c r="K11" s="8">
        <v>221.97800000000001</v>
      </c>
      <c r="L11" s="8">
        <v>2333.5100000000002</v>
      </c>
      <c r="M11" s="20">
        <v>1555249.1889999998</v>
      </c>
      <c r="N11" s="17">
        <v>103493.07870000001</v>
      </c>
      <c r="O11" s="18">
        <v>1658742.2676999997</v>
      </c>
    </row>
    <row r="12" spans="1:15" x14ac:dyDescent="0.2">
      <c r="B12" s="25"/>
      <c r="C12" s="16">
        <v>6</v>
      </c>
      <c r="D12" s="12">
        <v>1383711.2120000001</v>
      </c>
      <c r="E12" s="15">
        <v>93763.75499999999</v>
      </c>
      <c r="F12" s="8">
        <v>3979.125</v>
      </c>
      <c r="G12" s="8">
        <v>4121.933</v>
      </c>
      <c r="H12" s="9">
        <v>101864.81299999999</v>
      </c>
      <c r="I12" s="8">
        <v>53717.548000000003</v>
      </c>
      <c r="J12" s="8">
        <v>105042.31500000002</v>
      </c>
      <c r="K12" s="8">
        <v>3392.9660000000008</v>
      </c>
      <c r="L12" s="8">
        <v>2292.5730000000003</v>
      </c>
      <c r="M12" s="20">
        <v>1650021.4270000001</v>
      </c>
      <c r="N12" s="17">
        <v>102330.42600000002</v>
      </c>
      <c r="O12" s="18">
        <v>1752351.8530000001</v>
      </c>
    </row>
    <row r="13" spans="1:15" x14ac:dyDescent="0.2">
      <c r="B13" s="25"/>
      <c r="C13" s="16">
        <v>7</v>
      </c>
      <c r="D13" s="12">
        <v>1352871.69</v>
      </c>
      <c r="E13" s="15">
        <v>35709.661999999997</v>
      </c>
      <c r="F13" s="8">
        <v>2467.8200000000002</v>
      </c>
      <c r="G13" s="8">
        <v>116484.20299999999</v>
      </c>
      <c r="H13" s="9">
        <v>154661.685</v>
      </c>
      <c r="I13" s="8">
        <v>164766.79500000001</v>
      </c>
      <c r="J13" s="8">
        <v>114939.289</v>
      </c>
      <c r="K13" s="8">
        <v>1237.6319999999996</v>
      </c>
      <c r="L13" s="8">
        <v>2214.076</v>
      </c>
      <c r="M13" s="20">
        <v>1790691.1669999999</v>
      </c>
      <c r="N13" s="17">
        <v>87731.637000000002</v>
      </c>
      <c r="O13" s="18">
        <v>1878422.804</v>
      </c>
    </row>
    <row r="14" spans="1:15" x14ac:dyDescent="0.2">
      <c r="B14" s="25"/>
      <c r="C14" s="16">
        <v>8</v>
      </c>
      <c r="D14" s="12">
        <v>1267456.111</v>
      </c>
      <c r="E14" s="15">
        <v>86447.903999999995</v>
      </c>
      <c r="F14" s="8">
        <v>1473.92</v>
      </c>
      <c r="G14" s="8">
        <v>12182.372000000003</v>
      </c>
      <c r="H14" s="9">
        <v>100104.196</v>
      </c>
      <c r="I14" s="8">
        <v>71475.224000000017</v>
      </c>
      <c r="J14" s="8">
        <v>109556.709</v>
      </c>
      <c r="K14" s="8">
        <v>3022.2290000000003</v>
      </c>
      <c r="L14" s="8">
        <v>2274.9880000000003</v>
      </c>
      <c r="M14" s="20">
        <v>1553889.4569999999</v>
      </c>
      <c r="N14" s="17">
        <v>94129.213999999993</v>
      </c>
      <c r="O14" s="18">
        <v>1648018.6709999999</v>
      </c>
    </row>
    <row r="15" spans="1:15" x14ac:dyDescent="0.2">
      <c r="B15" s="25"/>
      <c r="C15" s="16">
        <v>9</v>
      </c>
      <c r="D15" s="12">
        <v>1344959.8991000003</v>
      </c>
      <c r="E15" s="15">
        <v>34102.032999999996</v>
      </c>
      <c r="F15" s="8">
        <v>1530.4909999999998</v>
      </c>
      <c r="G15" s="8">
        <v>5948.4060000000018</v>
      </c>
      <c r="H15" s="9">
        <v>41580.93</v>
      </c>
      <c r="I15" s="8">
        <v>162914.00199999995</v>
      </c>
      <c r="J15" s="8">
        <v>119279.66599999997</v>
      </c>
      <c r="K15" s="8">
        <v>1112.0619999999997</v>
      </c>
      <c r="L15" s="8">
        <v>2237.7019999999998</v>
      </c>
      <c r="M15" s="20">
        <v>1672084.2611000002</v>
      </c>
      <c r="N15" s="17">
        <v>103958.00199999998</v>
      </c>
      <c r="O15" s="18">
        <v>1776042.2631000001</v>
      </c>
    </row>
    <row r="16" spans="1:15" x14ac:dyDescent="0.2">
      <c r="B16" s="25"/>
      <c r="C16" s="16">
        <v>10</v>
      </c>
      <c r="D16" s="12">
        <v>1179724.5419999999</v>
      </c>
      <c r="E16" s="15">
        <v>88957.368000000002</v>
      </c>
      <c r="F16" s="8">
        <v>4136.7260000000006</v>
      </c>
      <c r="G16" s="8">
        <v>7180.47</v>
      </c>
      <c r="H16" s="9">
        <v>100274.564</v>
      </c>
      <c r="I16" s="8">
        <v>66478.679999999993</v>
      </c>
      <c r="J16" s="8">
        <v>120712.74600000001</v>
      </c>
      <c r="K16" s="8">
        <v>3141.5160000000005</v>
      </c>
      <c r="L16" s="8">
        <v>2157.6909999999998</v>
      </c>
      <c r="M16" s="20">
        <v>1472489.7389999998</v>
      </c>
      <c r="N16" s="17">
        <v>182933.78893000007</v>
      </c>
      <c r="O16" s="18">
        <v>1655423.5279299999</v>
      </c>
    </row>
    <row r="17" spans="2:15" x14ac:dyDescent="0.2">
      <c r="B17" s="25"/>
      <c r="C17" s="16">
        <v>11</v>
      </c>
      <c r="D17" s="12">
        <v>1319221.9715992</v>
      </c>
      <c r="E17" s="15">
        <v>33539.508999999998</v>
      </c>
      <c r="F17" s="8">
        <v>1411.9569999999999</v>
      </c>
      <c r="G17" s="8">
        <v>109143.728</v>
      </c>
      <c r="H17" s="9">
        <v>144095.19400000002</v>
      </c>
      <c r="I17" s="8">
        <v>162836.76800000001</v>
      </c>
      <c r="J17" s="8">
        <v>128640.37599999997</v>
      </c>
      <c r="K17" s="8">
        <v>1096.0790000000002</v>
      </c>
      <c r="L17" s="8">
        <v>2105.46</v>
      </c>
      <c r="M17" s="20">
        <v>1757995.8485992001</v>
      </c>
      <c r="N17" s="17">
        <v>108990.89200000001</v>
      </c>
      <c r="O17" s="18">
        <v>1866986.7405992001</v>
      </c>
    </row>
    <row r="18" spans="2:15" ht="13.5" thickBot="1" x14ac:dyDescent="0.25">
      <c r="B18" s="25"/>
      <c r="C18" s="16">
        <v>12</v>
      </c>
      <c r="D18" s="14">
        <v>1440022.2219999998</v>
      </c>
      <c r="E18" s="15">
        <v>77548.548999999999</v>
      </c>
      <c r="F18" s="8">
        <v>900.88499999999999</v>
      </c>
      <c r="G18" s="8">
        <v>18302.003000000001</v>
      </c>
      <c r="H18" s="13">
        <v>96751.436999999991</v>
      </c>
      <c r="I18" s="8">
        <v>95971.861999999994</v>
      </c>
      <c r="J18" s="8">
        <v>142364.033</v>
      </c>
      <c r="K18" s="8">
        <v>2668.5170000000003</v>
      </c>
      <c r="L18" s="8">
        <v>2211.3790000000004</v>
      </c>
      <c r="M18" s="20">
        <v>1779989.45</v>
      </c>
      <c r="N18" s="17">
        <v>122509.08</v>
      </c>
      <c r="O18" s="24">
        <v>1902498.53</v>
      </c>
    </row>
    <row r="19" spans="2:15" ht="13.5" thickBot="1" x14ac:dyDescent="0.25">
      <c r="B19" s="217" t="s">
        <v>18</v>
      </c>
      <c r="C19" s="218"/>
      <c r="D19" s="152">
        <v>15419889.591585534</v>
      </c>
      <c r="E19" s="152">
        <v>896684.65699999989</v>
      </c>
      <c r="F19" s="152">
        <v>42147.549000000014</v>
      </c>
      <c r="G19" s="152">
        <v>407914.91</v>
      </c>
      <c r="H19" s="152">
        <v>1346747.1159999999</v>
      </c>
      <c r="I19" s="152">
        <v>1342268.3259999999</v>
      </c>
      <c r="J19" s="152">
        <v>1338046.4469999999</v>
      </c>
      <c r="K19" s="152">
        <v>33562.427999999993</v>
      </c>
      <c r="L19" s="152">
        <v>27686.078000000001</v>
      </c>
      <c r="M19" s="152">
        <v>19508199.986585535</v>
      </c>
      <c r="N19" s="152">
        <v>1271273.2906300002</v>
      </c>
      <c r="O19" s="152">
        <v>20779473.277215537</v>
      </c>
    </row>
    <row r="20" spans="2:15" x14ac:dyDescent="0.2">
      <c r="B20" s="21" t="s">
        <v>19</v>
      </c>
    </row>
  </sheetData>
  <mergeCells count="9">
    <mergeCell ref="O5:O6"/>
    <mergeCell ref="B19:C19"/>
    <mergeCell ref="I5:I6"/>
    <mergeCell ref="J5:J6"/>
    <mergeCell ref="K5:K6"/>
    <mergeCell ref="L5:L6"/>
    <mergeCell ref="M5:M6"/>
    <mergeCell ref="N5:N6"/>
    <mergeCell ref="D5:D6"/>
  </mergeCells>
  <phoneticPr fontId="0" type="noConversion"/>
  <conditionalFormatting sqref="D7:O18 B19:O19">
    <cfRule type="cellIs" dxfId="17" priority="1" stopIfTrue="1" operator="equal">
      <formula>0</formula>
    </cfRule>
  </conditionalFormatting>
  <pageMargins left="0.75" right="0.75" top="1" bottom="1" header="0" footer="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20"/>
  <sheetViews>
    <sheetView workbookViewId="0">
      <selection activeCell="J30" sqref="J30"/>
    </sheetView>
  </sheetViews>
  <sheetFormatPr baseColWidth="10" defaultRowHeight="12.75" x14ac:dyDescent="0.2"/>
  <cols>
    <col min="1" max="1" width="4.85546875" customWidth="1"/>
    <col min="4" max="4" width="14.42578125" customWidth="1"/>
    <col min="5" max="5" width="10.85546875" bestFit="1" customWidth="1"/>
    <col min="6" max="6" width="7.7109375" bestFit="1" customWidth="1"/>
    <col min="7" max="7" width="7.5703125" bestFit="1" customWidth="1"/>
    <col min="8" max="8" width="9.140625" bestFit="1" customWidth="1"/>
    <col min="9" max="9" width="8.140625" bestFit="1" customWidth="1"/>
    <col min="10" max="10" width="9.85546875" customWidth="1"/>
    <col min="11" max="11" width="9.140625" bestFit="1" customWidth="1"/>
    <col min="12" max="12" width="9.28515625" bestFit="1" customWidth="1"/>
    <col min="16" max="16" width="15.85546875" customWidth="1"/>
  </cols>
  <sheetData>
    <row r="3" spans="1:16" ht="13.5" customHeight="1" x14ac:dyDescent="0.2">
      <c r="A3" t="s">
        <v>0</v>
      </c>
      <c r="B3" s="1" t="s">
        <v>15</v>
      </c>
      <c r="C3" s="1"/>
      <c r="D3" s="11"/>
      <c r="E3" s="2"/>
      <c r="F3" s="2"/>
      <c r="G3" s="2"/>
      <c r="H3" s="2"/>
      <c r="I3" s="2"/>
      <c r="J3" s="2"/>
      <c r="K3" s="2"/>
      <c r="L3" s="2"/>
      <c r="M3" s="2"/>
      <c r="N3" s="2"/>
      <c r="O3" s="10"/>
      <c r="P3" s="3"/>
    </row>
    <row r="4" spans="1:16" ht="13.5" customHeight="1" thickBot="1" x14ac:dyDescent="0.25">
      <c r="B4" s="4" t="s">
        <v>22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6"/>
    </row>
    <row r="5" spans="1:16" s="100" customFormat="1" ht="12.75" customHeight="1" x14ac:dyDescent="0.2">
      <c r="B5" s="137" t="s">
        <v>13</v>
      </c>
      <c r="C5" s="138"/>
      <c r="D5" s="236" t="s">
        <v>1</v>
      </c>
      <c r="E5" s="139" t="s">
        <v>3</v>
      </c>
      <c r="F5" s="139"/>
      <c r="G5" s="139"/>
      <c r="H5" s="139"/>
      <c r="I5" s="271" t="s">
        <v>4</v>
      </c>
      <c r="J5" s="271" t="s">
        <v>17</v>
      </c>
      <c r="K5" s="271" t="s">
        <v>5</v>
      </c>
      <c r="L5" s="273" t="s">
        <v>6</v>
      </c>
      <c r="M5" s="271" t="s">
        <v>16</v>
      </c>
      <c r="N5" s="275" t="s">
        <v>7</v>
      </c>
      <c r="O5" s="277" t="s">
        <v>8</v>
      </c>
      <c r="P5" s="269" t="s">
        <v>20</v>
      </c>
    </row>
    <row r="6" spans="1:16" s="100" customFormat="1" ht="43.5" customHeight="1" thickBot="1" x14ac:dyDescent="0.25">
      <c r="B6" s="140" t="s">
        <v>14</v>
      </c>
      <c r="C6" s="141" t="s">
        <v>12</v>
      </c>
      <c r="D6" s="237"/>
      <c r="E6" s="142" t="s">
        <v>9</v>
      </c>
      <c r="F6" s="142" t="s">
        <v>10</v>
      </c>
      <c r="G6" s="142" t="s">
        <v>11</v>
      </c>
      <c r="H6" s="142" t="s">
        <v>2</v>
      </c>
      <c r="I6" s="272"/>
      <c r="J6" s="272"/>
      <c r="K6" s="272"/>
      <c r="L6" s="274"/>
      <c r="M6" s="272"/>
      <c r="N6" s="276"/>
      <c r="O6" s="278"/>
      <c r="P6" s="270"/>
    </row>
    <row r="7" spans="1:16" x14ac:dyDescent="0.2">
      <c r="B7" s="19">
        <v>2008</v>
      </c>
      <c r="C7" s="16">
        <v>1</v>
      </c>
      <c r="D7" s="12">
        <v>945142.44</v>
      </c>
      <c r="E7" s="15">
        <v>33141.208999999995</v>
      </c>
      <c r="F7" s="8">
        <v>769.37</v>
      </c>
      <c r="G7" s="8">
        <v>3769.7670000000007</v>
      </c>
      <c r="H7" s="9">
        <v>37680.345999999998</v>
      </c>
      <c r="I7" s="8">
        <v>252395.766</v>
      </c>
      <c r="J7" s="8">
        <v>140.37</v>
      </c>
      <c r="K7" s="8">
        <v>80477.188999999984</v>
      </c>
      <c r="L7" s="8">
        <v>1216.6690000000001</v>
      </c>
      <c r="M7" s="8">
        <v>1741.7779999999998</v>
      </c>
      <c r="N7" s="9">
        <v>1318794.5580000002</v>
      </c>
      <c r="O7" s="17">
        <v>81756.106</v>
      </c>
      <c r="P7" s="18">
        <v>1400550.6640000001</v>
      </c>
    </row>
    <row r="8" spans="1:16" x14ac:dyDescent="0.2">
      <c r="B8" s="7"/>
      <c r="C8" s="16">
        <v>2</v>
      </c>
      <c r="D8" s="12">
        <v>890030.45730000001</v>
      </c>
      <c r="E8" s="15">
        <v>311072.87600000011</v>
      </c>
      <c r="F8" s="8">
        <v>19686.396000000001</v>
      </c>
      <c r="G8" s="8">
        <v>4254.6370000000006</v>
      </c>
      <c r="H8" s="9">
        <v>335013.9090000001</v>
      </c>
      <c r="I8" s="8">
        <v>52369.843000000001</v>
      </c>
      <c r="J8" s="8">
        <v>32.265999999999998</v>
      </c>
      <c r="K8" s="8">
        <v>120085.45199999999</v>
      </c>
      <c r="L8" s="8">
        <v>13338.744000000001</v>
      </c>
      <c r="M8" s="8">
        <v>1896.7149999999999</v>
      </c>
      <c r="N8" s="20">
        <v>1412767.3863000001</v>
      </c>
      <c r="O8" s="17">
        <v>69824.828999999983</v>
      </c>
      <c r="P8" s="18">
        <v>1482592.2153</v>
      </c>
    </row>
    <row r="9" spans="1:16" x14ac:dyDescent="0.2">
      <c r="B9" s="7"/>
      <c r="C9" s="16">
        <v>3</v>
      </c>
      <c r="D9" s="12">
        <v>801900.34300000011</v>
      </c>
      <c r="E9" s="15">
        <v>34825.203999999998</v>
      </c>
      <c r="F9" s="8">
        <v>3686</v>
      </c>
      <c r="G9" s="8">
        <v>119493.67900000002</v>
      </c>
      <c r="H9" s="9">
        <v>158004.88300000003</v>
      </c>
      <c r="I9" s="8">
        <v>17091.287</v>
      </c>
      <c r="J9" s="8">
        <v>14.581000000000001</v>
      </c>
      <c r="K9" s="8">
        <v>113145.54</v>
      </c>
      <c r="L9" s="8">
        <v>1358.039</v>
      </c>
      <c r="M9" s="8">
        <v>1892.6889999999999</v>
      </c>
      <c r="N9" s="20">
        <v>1093407.3620000002</v>
      </c>
      <c r="O9" s="17">
        <v>93877.410999999993</v>
      </c>
      <c r="P9" s="18">
        <v>1187284.7730000003</v>
      </c>
    </row>
    <row r="10" spans="1:16" x14ac:dyDescent="0.2">
      <c r="B10" s="7"/>
      <c r="C10" s="16">
        <v>4</v>
      </c>
      <c r="D10" s="12">
        <v>906212.26061999996</v>
      </c>
      <c r="E10" s="15">
        <v>15035.242</v>
      </c>
      <c r="F10" s="8">
        <v>5005.2780000000002</v>
      </c>
      <c r="G10" s="8">
        <v>15534.525</v>
      </c>
      <c r="H10" s="9">
        <v>35575.044999999998</v>
      </c>
      <c r="I10" s="8">
        <v>32405.504000000004</v>
      </c>
      <c r="J10" s="8">
        <v>4.4079999999999995</v>
      </c>
      <c r="K10" s="8">
        <v>100915.38669999999</v>
      </c>
      <c r="L10" s="8">
        <v>584.59399999999994</v>
      </c>
      <c r="M10" s="8">
        <v>1959.5129999999999</v>
      </c>
      <c r="N10" s="20">
        <v>1077656.71132</v>
      </c>
      <c r="O10" s="17">
        <v>116461.96669999999</v>
      </c>
      <c r="P10" s="18">
        <v>1194118.67802</v>
      </c>
    </row>
    <row r="11" spans="1:16" x14ac:dyDescent="0.2">
      <c r="B11" s="7"/>
      <c r="C11" s="16">
        <v>5</v>
      </c>
      <c r="D11" s="12">
        <v>1031331.5450000002</v>
      </c>
      <c r="E11" s="15">
        <v>14248.526999999998</v>
      </c>
      <c r="F11" s="8">
        <v>2175.6319999999996</v>
      </c>
      <c r="G11" s="8">
        <v>3890.1289999999999</v>
      </c>
      <c r="H11" s="9">
        <v>20314.288</v>
      </c>
      <c r="I11" s="8">
        <v>114738.89399999999</v>
      </c>
      <c r="J11" s="8">
        <v>5.9239999999999995</v>
      </c>
      <c r="K11" s="8">
        <v>117171.17899999999</v>
      </c>
      <c r="L11" s="8">
        <v>484.09</v>
      </c>
      <c r="M11" s="8">
        <v>1899.8409999999999</v>
      </c>
      <c r="N11" s="20">
        <v>1285945.7610000002</v>
      </c>
      <c r="O11" s="17">
        <v>84237.092000000004</v>
      </c>
      <c r="P11" s="18">
        <v>1370182.8530000001</v>
      </c>
    </row>
    <row r="12" spans="1:16" x14ac:dyDescent="0.2">
      <c r="B12" s="7"/>
      <c r="C12" s="16">
        <v>6</v>
      </c>
      <c r="D12" s="12">
        <v>975339.60299999989</v>
      </c>
      <c r="E12" s="15">
        <v>84273.59199999999</v>
      </c>
      <c r="F12" s="8">
        <v>4811.9009999999998</v>
      </c>
      <c r="G12" s="8">
        <v>3146.4009999999998</v>
      </c>
      <c r="H12" s="9">
        <v>92231.893999999986</v>
      </c>
      <c r="I12" s="8">
        <v>33264.939000000006</v>
      </c>
      <c r="J12" s="8">
        <v>0.247</v>
      </c>
      <c r="K12" s="8">
        <v>118451.45199999999</v>
      </c>
      <c r="L12" s="8">
        <v>3118.9030000000007</v>
      </c>
      <c r="M12" s="8">
        <v>1877.3159999999998</v>
      </c>
      <c r="N12" s="20">
        <v>1224284.3539999998</v>
      </c>
      <c r="O12" s="17">
        <v>76601.809000000008</v>
      </c>
      <c r="P12" s="18">
        <v>1300886.1629999997</v>
      </c>
    </row>
    <row r="13" spans="1:16" x14ac:dyDescent="0.2">
      <c r="B13" s="7"/>
      <c r="C13" s="16">
        <v>7</v>
      </c>
      <c r="D13" s="12">
        <v>975375.62900000007</v>
      </c>
      <c r="E13" s="15">
        <v>26925.113000000001</v>
      </c>
      <c r="F13" s="8">
        <v>2366.7429999999995</v>
      </c>
      <c r="G13" s="8">
        <v>128270.35</v>
      </c>
      <c r="H13" s="9">
        <v>157562.20600000001</v>
      </c>
      <c r="I13" s="8">
        <v>117052.95699999999</v>
      </c>
      <c r="J13" s="8">
        <v>0</v>
      </c>
      <c r="K13" s="8">
        <v>115336.14300000001</v>
      </c>
      <c r="L13" s="8">
        <v>901.2059999999999</v>
      </c>
      <c r="M13" s="8">
        <v>1821.5159999999998</v>
      </c>
      <c r="N13" s="20">
        <v>1368049.6570000001</v>
      </c>
      <c r="O13" s="17">
        <v>114986.54700000004</v>
      </c>
      <c r="P13" s="18">
        <v>1483036.2040000001</v>
      </c>
    </row>
    <row r="14" spans="1:16" x14ac:dyDescent="0.2">
      <c r="B14" s="7"/>
      <c r="C14" s="16">
        <v>8</v>
      </c>
      <c r="D14" s="12">
        <v>1002477.3146500001</v>
      </c>
      <c r="E14" s="15">
        <v>77030.143999999986</v>
      </c>
      <c r="F14" s="8">
        <v>1592.0340000000001</v>
      </c>
      <c r="G14" s="8">
        <v>12032.567000000001</v>
      </c>
      <c r="H14" s="9">
        <v>90654.744999999981</v>
      </c>
      <c r="I14" s="8">
        <v>41929.449000000008</v>
      </c>
      <c r="J14" s="8">
        <v>0</v>
      </c>
      <c r="K14" s="8">
        <v>125360.22300000001</v>
      </c>
      <c r="L14" s="8">
        <v>2744.8480000000004</v>
      </c>
      <c r="M14" s="8">
        <v>1951.1510000000003</v>
      </c>
      <c r="N14" s="20">
        <v>1265117.73065</v>
      </c>
      <c r="O14" s="17">
        <v>101803.269</v>
      </c>
      <c r="P14" s="18">
        <v>1366920.9996500001</v>
      </c>
    </row>
    <row r="15" spans="1:16" x14ac:dyDescent="0.2">
      <c r="B15" s="7"/>
      <c r="C15" s="16">
        <v>9</v>
      </c>
      <c r="D15" s="12">
        <v>1178865.7473899999</v>
      </c>
      <c r="E15" s="15">
        <v>33419.807999999997</v>
      </c>
      <c r="F15" s="8">
        <v>1551.9569999999999</v>
      </c>
      <c r="G15" s="8">
        <v>5438.0659999999998</v>
      </c>
      <c r="H15" s="9">
        <v>40409.830999999998</v>
      </c>
      <c r="I15" s="8">
        <v>112844.53400000001</v>
      </c>
      <c r="J15" s="8">
        <v>0</v>
      </c>
      <c r="K15" s="8">
        <v>115876.71</v>
      </c>
      <c r="L15" s="8">
        <v>1121.1199999999999</v>
      </c>
      <c r="M15" s="8">
        <v>1962.0010000000002</v>
      </c>
      <c r="N15" s="20">
        <v>1451079.9433899999</v>
      </c>
      <c r="O15" s="17">
        <v>82488.902000000016</v>
      </c>
      <c r="P15" s="18">
        <v>1533568.8453899999</v>
      </c>
    </row>
    <row r="16" spans="1:16" x14ac:dyDescent="0.2">
      <c r="B16" s="7"/>
      <c r="C16" s="16">
        <v>10</v>
      </c>
      <c r="D16" s="12">
        <v>1242525.7820899999</v>
      </c>
      <c r="E16" s="15">
        <v>75033.247000000032</v>
      </c>
      <c r="F16" s="8">
        <v>4484.6580000000004</v>
      </c>
      <c r="G16" s="8">
        <v>7953.2879999999996</v>
      </c>
      <c r="H16" s="9">
        <v>87471.193000000028</v>
      </c>
      <c r="I16" s="8">
        <v>41701.908000000003</v>
      </c>
      <c r="J16" s="8">
        <v>0</v>
      </c>
      <c r="K16" s="8">
        <v>125333.61599999998</v>
      </c>
      <c r="L16" s="8">
        <v>2734.002</v>
      </c>
      <c r="M16" s="8">
        <v>2198.3360000000002</v>
      </c>
      <c r="N16" s="20">
        <v>1501964.8370899998</v>
      </c>
      <c r="O16" s="17">
        <v>79982.258999999991</v>
      </c>
      <c r="P16" s="18">
        <v>1581947.0960899999</v>
      </c>
    </row>
    <row r="17" spans="2:16" x14ac:dyDescent="0.2">
      <c r="B17" s="7"/>
      <c r="C17" s="16">
        <v>11</v>
      </c>
      <c r="D17" s="12">
        <v>1331681.86699</v>
      </c>
      <c r="E17" s="15">
        <v>17588.349000000006</v>
      </c>
      <c r="F17" s="8">
        <v>1554.4420000000005</v>
      </c>
      <c r="G17" s="8">
        <v>122021.921</v>
      </c>
      <c r="H17" s="9">
        <v>141164.712</v>
      </c>
      <c r="I17" s="8">
        <v>109103.45699999998</v>
      </c>
      <c r="J17" s="8">
        <v>0</v>
      </c>
      <c r="K17" s="8">
        <v>119835.754</v>
      </c>
      <c r="L17" s="8">
        <v>555.99699999999996</v>
      </c>
      <c r="M17" s="8">
        <v>2195.0059999999999</v>
      </c>
      <c r="N17" s="20">
        <v>1704536.79299</v>
      </c>
      <c r="O17" s="17">
        <v>81936.403000000006</v>
      </c>
      <c r="P17" s="18">
        <v>1786473.1959899999</v>
      </c>
    </row>
    <row r="18" spans="2:16" ht="13.5" thickBot="1" x14ac:dyDescent="0.25">
      <c r="B18" s="7"/>
      <c r="C18" s="16">
        <v>12</v>
      </c>
      <c r="D18" s="12">
        <v>1272951.6971800001</v>
      </c>
      <c r="E18" s="15">
        <v>73188.476999999999</v>
      </c>
      <c r="F18" s="8">
        <v>953.12300000000016</v>
      </c>
      <c r="G18" s="8">
        <v>10148.285000000002</v>
      </c>
      <c r="H18" s="9">
        <v>84289.885000000009</v>
      </c>
      <c r="I18" s="8">
        <v>69805.672999999995</v>
      </c>
      <c r="J18" s="8">
        <v>0.25</v>
      </c>
      <c r="K18" s="8">
        <v>130288.96900000001</v>
      </c>
      <c r="L18" s="8">
        <v>2550.7329999999997</v>
      </c>
      <c r="M18" s="8">
        <v>2066.4429999999998</v>
      </c>
      <c r="N18" s="20">
        <v>1561953.6501800001</v>
      </c>
      <c r="O18" s="17">
        <v>82442.539999999994</v>
      </c>
      <c r="P18" s="18">
        <v>1644396.1901800002</v>
      </c>
    </row>
    <row r="19" spans="2:16" ht="13.5" thickBot="1" x14ac:dyDescent="0.25">
      <c r="B19" s="217" t="s">
        <v>18</v>
      </c>
      <c r="C19" s="218"/>
      <c r="D19" s="152">
        <v>12553834.686219998</v>
      </c>
      <c r="E19" s="152">
        <v>795781.78800000006</v>
      </c>
      <c r="F19" s="152">
        <v>48637.534000000007</v>
      </c>
      <c r="G19" s="152">
        <v>435953.61499999993</v>
      </c>
      <c r="H19" s="152">
        <v>1280372.9370000002</v>
      </c>
      <c r="I19" s="152">
        <v>994704.21099999989</v>
      </c>
      <c r="J19" s="152">
        <v>198.04599999999999</v>
      </c>
      <c r="K19" s="152">
        <v>1382277.6136999999</v>
      </c>
      <c r="L19" s="152">
        <v>30708.945000000003</v>
      </c>
      <c r="M19" s="152">
        <v>23462.304999999997</v>
      </c>
      <c r="N19" s="152">
        <v>16265558.743920002</v>
      </c>
      <c r="O19" s="152">
        <v>1066399.1337000001</v>
      </c>
      <c r="P19" s="152">
        <v>17331957.87762</v>
      </c>
    </row>
    <row r="20" spans="2:16" x14ac:dyDescent="0.2">
      <c r="B20" s="21" t="s">
        <v>19</v>
      </c>
    </row>
  </sheetData>
  <mergeCells count="10">
    <mergeCell ref="D5:D6"/>
    <mergeCell ref="O5:O6"/>
    <mergeCell ref="P5:P6"/>
    <mergeCell ref="B19:C19"/>
    <mergeCell ref="L5:L6"/>
    <mergeCell ref="M5:M6"/>
    <mergeCell ref="N5:N6"/>
    <mergeCell ref="I5:I6"/>
    <mergeCell ref="J5:J6"/>
    <mergeCell ref="K5:K6"/>
  </mergeCells>
  <phoneticPr fontId="0" type="noConversion"/>
  <conditionalFormatting sqref="D7:P19 B19:C19">
    <cfRule type="cellIs" dxfId="16" priority="1" stopIfTrue="1" operator="equal">
      <formula>0</formula>
    </cfRule>
  </conditionalFormatting>
  <pageMargins left="0.75" right="0.75" top="1" bottom="1" header="0" footer="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20"/>
  <sheetViews>
    <sheetView workbookViewId="0">
      <selection activeCell="J30" sqref="J30"/>
    </sheetView>
  </sheetViews>
  <sheetFormatPr baseColWidth="10" defaultRowHeight="12.75" x14ac:dyDescent="0.2"/>
  <cols>
    <col min="1" max="1" width="5.140625" customWidth="1"/>
    <col min="4" max="4" width="14.42578125" customWidth="1"/>
    <col min="5" max="5" width="10.85546875" bestFit="1" customWidth="1"/>
    <col min="6" max="6" width="7.7109375" bestFit="1" customWidth="1"/>
    <col min="7" max="7" width="7.5703125" bestFit="1" customWidth="1"/>
    <col min="8" max="8" width="9.140625" bestFit="1" customWidth="1"/>
    <col min="9" max="9" width="8.140625" bestFit="1" customWidth="1"/>
    <col min="11" max="11" width="9.140625" bestFit="1" customWidth="1"/>
    <col min="12" max="12" width="9.28515625" bestFit="1" customWidth="1"/>
    <col min="16" max="16" width="14.42578125" customWidth="1"/>
  </cols>
  <sheetData>
    <row r="3" spans="1:16" ht="13.5" customHeight="1" x14ac:dyDescent="0.2">
      <c r="A3" t="s">
        <v>0</v>
      </c>
      <c r="B3" s="1" t="s">
        <v>15</v>
      </c>
      <c r="C3" s="1"/>
      <c r="D3" s="11"/>
      <c r="E3" s="2"/>
      <c r="F3" s="2"/>
      <c r="G3" s="2"/>
      <c r="H3" s="2"/>
      <c r="I3" s="2"/>
      <c r="J3" s="2"/>
      <c r="K3" s="2"/>
      <c r="L3" s="2"/>
      <c r="M3" s="2"/>
      <c r="N3" s="2"/>
      <c r="O3" s="10"/>
      <c r="P3" s="3"/>
    </row>
    <row r="4" spans="1:16" ht="13.5" customHeight="1" thickBot="1" x14ac:dyDescent="0.25">
      <c r="B4" s="4" t="s">
        <v>21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6"/>
    </row>
    <row r="5" spans="1:16" s="100" customFormat="1" ht="12.75" customHeight="1" x14ac:dyDescent="0.2">
      <c r="B5" s="137" t="s">
        <v>13</v>
      </c>
      <c r="C5" s="138"/>
      <c r="D5" s="236" t="s">
        <v>1</v>
      </c>
      <c r="E5" s="139" t="s">
        <v>3</v>
      </c>
      <c r="F5" s="139"/>
      <c r="G5" s="139"/>
      <c r="H5" s="139"/>
      <c r="I5" s="271" t="s">
        <v>4</v>
      </c>
      <c r="J5" s="279" t="s">
        <v>17</v>
      </c>
      <c r="K5" s="281" t="s">
        <v>5</v>
      </c>
      <c r="L5" s="273" t="s">
        <v>6</v>
      </c>
      <c r="M5" s="271" t="s">
        <v>16</v>
      </c>
      <c r="N5" s="275" t="s">
        <v>7</v>
      </c>
      <c r="O5" s="277" t="s">
        <v>8</v>
      </c>
      <c r="P5" s="269" t="s">
        <v>20</v>
      </c>
    </row>
    <row r="6" spans="1:16" s="100" customFormat="1" ht="43.5" customHeight="1" thickBot="1" x14ac:dyDescent="0.25">
      <c r="B6" s="140" t="s">
        <v>14</v>
      </c>
      <c r="C6" s="141" t="s">
        <v>12</v>
      </c>
      <c r="D6" s="237"/>
      <c r="E6" s="142" t="s">
        <v>9</v>
      </c>
      <c r="F6" s="142" t="s">
        <v>10</v>
      </c>
      <c r="G6" s="142" t="s">
        <v>11</v>
      </c>
      <c r="H6" s="142" t="s">
        <v>2</v>
      </c>
      <c r="I6" s="272"/>
      <c r="J6" s="280"/>
      <c r="K6" s="282"/>
      <c r="L6" s="274"/>
      <c r="M6" s="272"/>
      <c r="N6" s="276"/>
      <c r="O6" s="278"/>
      <c r="P6" s="270"/>
    </row>
    <row r="7" spans="1:16" x14ac:dyDescent="0.2">
      <c r="B7" s="22">
        <v>2007</v>
      </c>
      <c r="C7" s="16">
        <v>1</v>
      </c>
      <c r="D7" s="12">
        <v>677156.50576999993</v>
      </c>
      <c r="E7" s="15">
        <v>28533.072</v>
      </c>
      <c r="F7" s="8">
        <v>1185.1189999999999</v>
      </c>
      <c r="G7" s="8">
        <v>3444.3840000000005</v>
      </c>
      <c r="H7" s="9">
        <v>33162.574999999997</v>
      </c>
      <c r="I7" s="8">
        <v>193641.39799999999</v>
      </c>
      <c r="J7" s="8"/>
      <c r="K7" s="8">
        <v>93430.035000000003</v>
      </c>
      <c r="L7" s="8">
        <v>990.51200000000017</v>
      </c>
      <c r="M7" s="8">
        <v>1313.0669999999998</v>
      </c>
      <c r="N7" s="20">
        <v>999694.09276999987</v>
      </c>
      <c r="O7" s="17">
        <v>70444.097999999998</v>
      </c>
      <c r="P7" s="18">
        <v>1070138.1907699998</v>
      </c>
    </row>
    <row r="8" spans="1:16" x14ac:dyDescent="0.2">
      <c r="B8" s="7"/>
      <c r="C8" s="16">
        <v>2</v>
      </c>
      <c r="D8" s="12">
        <v>569087.79099999997</v>
      </c>
      <c r="E8" s="15">
        <v>276193.31400000001</v>
      </c>
      <c r="F8" s="8">
        <v>17382.579000000002</v>
      </c>
      <c r="G8" s="8">
        <v>5749.6580000000004</v>
      </c>
      <c r="H8" s="9">
        <v>299325.55100000004</v>
      </c>
      <c r="I8" s="8">
        <v>39128.346000000005</v>
      </c>
      <c r="J8" s="8"/>
      <c r="K8" s="8">
        <v>66891.808980000002</v>
      </c>
      <c r="L8" s="8">
        <v>11906.994000000001</v>
      </c>
      <c r="M8" s="8">
        <v>1587.316</v>
      </c>
      <c r="N8" s="20">
        <v>987927.80697999999</v>
      </c>
      <c r="O8" s="17">
        <v>66741.47</v>
      </c>
      <c r="P8" s="18">
        <v>1054669.2769800001</v>
      </c>
    </row>
    <row r="9" spans="1:16" x14ac:dyDescent="0.2">
      <c r="B9" s="7"/>
      <c r="C9" s="16">
        <v>3</v>
      </c>
      <c r="D9" s="12">
        <v>640943.21845000004</v>
      </c>
      <c r="E9" s="15">
        <v>39907.977900000005</v>
      </c>
      <c r="F9" s="8">
        <v>4897.9779999999992</v>
      </c>
      <c r="G9" s="8">
        <v>122767.96090000001</v>
      </c>
      <c r="H9" s="9">
        <v>167573.91680000001</v>
      </c>
      <c r="I9" s="8">
        <v>16213.047800000002</v>
      </c>
      <c r="J9" s="8"/>
      <c r="K9" s="8">
        <v>80842.659400000004</v>
      </c>
      <c r="L9" s="8">
        <v>1580.9639999999997</v>
      </c>
      <c r="M9" s="8">
        <v>1569.2890000000002</v>
      </c>
      <c r="N9" s="20">
        <v>908723.09545000002</v>
      </c>
      <c r="O9" s="17">
        <v>80879.757299999997</v>
      </c>
      <c r="P9" s="18">
        <v>989602.85275000008</v>
      </c>
    </row>
    <row r="10" spans="1:16" x14ac:dyDescent="0.2">
      <c r="B10" s="7"/>
      <c r="C10" s="16">
        <v>4</v>
      </c>
      <c r="D10" s="12">
        <v>644802.23299999989</v>
      </c>
      <c r="E10" s="15">
        <v>9386.6849999999995</v>
      </c>
      <c r="F10" s="8">
        <v>5030.3010000000004</v>
      </c>
      <c r="G10" s="8">
        <v>8441.9290000000001</v>
      </c>
      <c r="H10" s="9">
        <v>22858.915000000001</v>
      </c>
      <c r="I10" s="8">
        <v>17114.918000000001</v>
      </c>
      <c r="J10" s="8"/>
      <c r="K10" s="8">
        <v>96353.704999999987</v>
      </c>
      <c r="L10" s="8">
        <v>415.81599999999997</v>
      </c>
      <c r="M10" s="8">
        <v>1812.0259999999998</v>
      </c>
      <c r="N10" s="20">
        <v>783357.6129999999</v>
      </c>
      <c r="O10" s="17">
        <v>74340.094000000012</v>
      </c>
      <c r="P10" s="18">
        <v>857697.70699999994</v>
      </c>
    </row>
    <row r="11" spans="1:16" x14ac:dyDescent="0.2">
      <c r="B11" s="7"/>
      <c r="C11" s="16">
        <v>5</v>
      </c>
      <c r="D11" s="12">
        <v>666309.36100000003</v>
      </c>
      <c r="E11" s="15">
        <v>8293.76</v>
      </c>
      <c r="F11" s="8">
        <v>2043.27</v>
      </c>
      <c r="G11" s="8">
        <v>6324.9660000000013</v>
      </c>
      <c r="H11" s="9">
        <v>16661.996000000003</v>
      </c>
      <c r="I11" s="8">
        <v>89709.808999999994</v>
      </c>
      <c r="J11" s="8"/>
      <c r="K11" s="8">
        <v>87972.201000000001</v>
      </c>
      <c r="L11" s="8">
        <v>268.59800000000001</v>
      </c>
      <c r="M11" s="8">
        <v>1711.68</v>
      </c>
      <c r="N11" s="20">
        <v>862633.64500000002</v>
      </c>
      <c r="O11" s="17">
        <v>103930.48</v>
      </c>
      <c r="P11" s="18">
        <v>966564.125</v>
      </c>
    </row>
    <row r="12" spans="1:16" x14ac:dyDescent="0.2">
      <c r="B12" s="7"/>
      <c r="C12" s="16">
        <v>6</v>
      </c>
      <c r="D12" s="12">
        <v>670897.679</v>
      </c>
      <c r="E12" s="15">
        <v>81718.983999999997</v>
      </c>
      <c r="F12" s="8">
        <v>4973.6320000000005</v>
      </c>
      <c r="G12" s="8">
        <v>6407.8009999999995</v>
      </c>
      <c r="H12" s="9">
        <v>93100.416999999987</v>
      </c>
      <c r="I12" s="8">
        <v>20901.387999999999</v>
      </c>
      <c r="J12" s="8"/>
      <c r="K12" s="8">
        <v>99768.236000000004</v>
      </c>
      <c r="L12" s="8">
        <v>3098.3380000000002</v>
      </c>
      <c r="M12" s="8">
        <v>1819.1960000000004</v>
      </c>
      <c r="N12" s="20">
        <v>889585.25399999996</v>
      </c>
      <c r="O12" s="17">
        <v>95490.161999999997</v>
      </c>
      <c r="P12" s="18">
        <v>985075.41599999997</v>
      </c>
    </row>
    <row r="13" spans="1:16" x14ac:dyDescent="0.2">
      <c r="B13" s="7"/>
      <c r="C13" s="16">
        <v>7</v>
      </c>
      <c r="D13" s="12">
        <v>699455.35700000008</v>
      </c>
      <c r="E13" s="15">
        <v>29395.78</v>
      </c>
      <c r="F13" s="8">
        <v>2531.1289999999999</v>
      </c>
      <c r="G13" s="8">
        <v>128364.863</v>
      </c>
      <c r="H13" s="9">
        <v>160291.772</v>
      </c>
      <c r="I13" s="8">
        <v>95256.266000000003</v>
      </c>
      <c r="J13" s="8"/>
      <c r="K13" s="8">
        <v>96364.800000000003</v>
      </c>
      <c r="L13" s="8">
        <v>1015.578</v>
      </c>
      <c r="M13" s="8">
        <v>1737.905</v>
      </c>
      <c r="N13" s="20">
        <v>1054121.6780000001</v>
      </c>
      <c r="O13" s="17">
        <v>116561.04700000001</v>
      </c>
      <c r="P13" s="18">
        <v>1170682.7250000001</v>
      </c>
    </row>
    <row r="14" spans="1:16" x14ac:dyDescent="0.2">
      <c r="B14" s="7"/>
      <c r="C14" s="16">
        <v>8</v>
      </c>
      <c r="D14" s="12">
        <v>738840.23300000001</v>
      </c>
      <c r="E14" s="15">
        <v>79146.176999999996</v>
      </c>
      <c r="F14" s="8">
        <v>1953.645</v>
      </c>
      <c r="G14" s="8">
        <v>10536.898999999999</v>
      </c>
      <c r="H14" s="9">
        <v>91636.721000000005</v>
      </c>
      <c r="I14" s="8">
        <v>36816.188000000002</v>
      </c>
      <c r="J14" s="8">
        <v>0</v>
      </c>
      <c r="K14" s="8">
        <v>105554.27499999999</v>
      </c>
      <c r="L14" s="8">
        <v>2830.3989999999999</v>
      </c>
      <c r="M14" s="8">
        <v>1866.365</v>
      </c>
      <c r="N14" s="20">
        <v>977544.18099999998</v>
      </c>
      <c r="O14" s="17">
        <v>108706.26699999999</v>
      </c>
      <c r="P14" s="18">
        <v>1086250.4479999999</v>
      </c>
    </row>
    <row r="15" spans="1:16" x14ac:dyDescent="0.2">
      <c r="B15" s="7"/>
      <c r="C15" s="16">
        <v>9</v>
      </c>
      <c r="D15" s="12">
        <v>732999.32699999993</v>
      </c>
      <c r="E15" s="15">
        <v>22817.024999999998</v>
      </c>
      <c r="F15" s="8">
        <v>1416.877</v>
      </c>
      <c r="G15" s="8">
        <v>4792.8630000000003</v>
      </c>
      <c r="H15" s="9">
        <v>29026.764999999999</v>
      </c>
      <c r="I15" s="8">
        <v>85974.848000000013</v>
      </c>
      <c r="J15" s="8">
        <v>36511.974999999999</v>
      </c>
      <c r="K15" s="8">
        <v>104605.753</v>
      </c>
      <c r="L15" s="8">
        <v>751.8</v>
      </c>
      <c r="M15" s="8">
        <v>1925.1390000000001</v>
      </c>
      <c r="N15" s="20">
        <v>991795.60699999984</v>
      </c>
      <c r="O15" s="17">
        <v>91523.388000000006</v>
      </c>
      <c r="P15" s="18">
        <v>1083318.9949999999</v>
      </c>
    </row>
    <row r="16" spans="1:16" x14ac:dyDescent="0.2">
      <c r="B16" s="7"/>
      <c r="C16" s="16">
        <v>10</v>
      </c>
      <c r="D16" s="12">
        <v>754712.18420999998</v>
      </c>
      <c r="E16" s="15">
        <v>70623.806000000011</v>
      </c>
      <c r="F16" s="8">
        <v>4335.6680000000006</v>
      </c>
      <c r="G16" s="8">
        <v>9246.9639999999999</v>
      </c>
      <c r="H16" s="9">
        <v>84206.438000000024</v>
      </c>
      <c r="I16" s="8">
        <v>24609.264999999999</v>
      </c>
      <c r="J16" s="8">
        <v>17293.239000000001</v>
      </c>
      <c r="K16" s="8">
        <v>110073.981</v>
      </c>
      <c r="L16" s="8">
        <v>2606.2619999999997</v>
      </c>
      <c r="M16" s="8">
        <v>1786.8989999999997</v>
      </c>
      <c r="N16" s="20">
        <v>995288.26821000001</v>
      </c>
      <c r="O16" s="17">
        <v>105676.16200010001</v>
      </c>
      <c r="P16" s="18">
        <v>1100964.4302101</v>
      </c>
    </row>
    <row r="17" spans="2:16" x14ac:dyDescent="0.2">
      <c r="B17" s="7"/>
      <c r="C17" s="16">
        <v>11</v>
      </c>
      <c r="D17" s="12">
        <v>864408.42947000009</v>
      </c>
      <c r="E17" s="15">
        <v>21923.030999999999</v>
      </c>
      <c r="F17" s="8">
        <v>1524.1690000000001</v>
      </c>
      <c r="G17" s="8">
        <v>121394.132</v>
      </c>
      <c r="H17" s="9">
        <v>144841.33199999999</v>
      </c>
      <c r="I17" s="8">
        <v>92488.369000000006</v>
      </c>
      <c r="J17" s="8">
        <v>4938.3760000000002</v>
      </c>
      <c r="K17" s="8">
        <v>106916.508</v>
      </c>
      <c r="L17" s="8">
        <v>721.56500000000005</v>
      </c>
      <c r="M17" s="8">
        <v>1907.19</v>
      </c>
      <c r="N17" s="20">
        <v>1216221.7694700002</v>
      </c>
      <c r="O17" s="17">
        <v>171253.166</v>
      </c>
      <c r="P17" s="18">
        <v>1387474.9354700001</v>
      </c>
    </row>
    <row r="18" spans="2:16" ht="13.5" thickBot="1" x14ac:dyDescent="0.25">
      <c r="B18" s="7"/>
      <c r="C18" s="16">
        <v>12</v>
      </c>
      <c r="D18" s="12">
        <v>846655.02899999998</v>
      </c>
      <c r="E18" s="15">
        <v>70125.743000000002</v>
      </c>
      <c r="F18" s="8">
        <v>1221.0420000000001</v>
      </c>
      <c r="G18" s="8">
        <v>10260.042000000001</v>
      </c>
      <c r="H18" s="9">
        <v>81606.827000000005</v>
      </c>
      <c r="I18" s="8">
        <v>29521.03</v>
      </c>
      <c r="J18" s="8">
        <v>3976.3429999999998</v>
      </c>
      <c r="K18" s="8">
        <v>104222.95</v>
      </c>
      <c r="L18" s="8">
        <v>2472.5039999999999</v>
      </c>
      <c r="M18" s="8">
        <v>1799.9730000000002</v>
      </c>
      <c r="N18" s="20">
        <v>1070254.656</v>
      </c>
      <c r="O18" s="17">
        <v>123313.723</v>
      </c>
      <c r="P18" s="18">
        <v>1193568.379</v>
      </c>
    </row>
    <row r="19" spans="2:16" ht="13.5" thickBot="1" x14ac:dyDescent="0.25">
      <c r="B19" s="217" t="s">
        <v>18</v>
      </c>
      <c r="C19" s="218"/>
      <c r="D19" s="152">
        <v>8506267.3478999995</v>
      </c>
      <c r="E19" s="152">
        <v>738065.35490000003</v>
      </c>
      <c r="F19" s="152">
        <v>48495.409</v>
      </c>
      <c r="G19" s="152">
        <v>437732.46189999999</v>
      </c>
      <c r="H19" s="152">
        <v>1224293.2258000001</v>
      </c>
      <c r="I19" s="152">
        <v>741374.87280000001</v>
      </c>
      <c r="J19" s="152">
        <v>62719.932999999997</v>
      </c>
      <c r="K19" s="152">
        <v>1152996.9123800001</v>
      </c>
      <c r="L19" s="152">
        <v>28659.33</v>
      </c>
      <c r="M19" s="152">
        <v>20836.045000000002</v>
      </c>
      <c r="N19" s="152">
        <v>11737147.66688</v>
      </c>
      <c r="O19" s="152">
        <v>1208859.8143001001</v>
      </c>
      <c r="P19" s="152">
        <v>12946007.481180102</v>
      </c>
    </row>
    <row r="20" spans="2:16" x14ac:dyDescent="0.2">
      <c r="B20" s="21" t="s">
        <v>19</v>
      </c>
    </row>
  </sheetData>
  <mergeCells count="10">
    <mergeCell ref="D5:D6"/>
    <mergeCell ref="P5:P6"/>
    <mergeCell ref="B19:C19"/>
    <mergeCell ref="M5:M6"/>
    <mergeCell ref="N5:N6"/>
    <mergeCell ref="O5:O6"/>
    <mergeCell ref="I5:I6"/>
    <mergeCell ref="J5:J6"/>
    <mergeCell ref="K5:K6"/>
    <mergeCell ref="L5:L6"/>
  </mergeCells>
  <phoneticPr fontId="0" type="noConversion"/>
  <conditionalFormatting sqref="D7:P19 B19:C19">
    <cfRule type="cellIs" dxfId="15" priority="1" stopIfTrue="1" operator="equal">
      <formula>0</formula>
    </cfRule>
  </conditionalFormatting>
  <pageMargins left="0.75" right="0.75" top="1" bottom="1" header="0" footer="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20"/>
  <sheetViews>
    <sheetView workbookViewId="0">
      <selection activeCell="J30" sqref="J30"/>
    </sheetView>
  </sheetViews>
  <sheetFormatPr baseColWidth="10" defaultRowHeight="12.75" x14ac:dyDescent="0.2"/>
  <cols>
    <col min="1" max="1" width="5.140625" customWidth="1"/>
    <col min="4" max="4" width="14.42578125" customWidth="1"/>
    <col min="5" max="5" width="10.85546875" bestFit="1" customWidth="1"/>
    <col min="6" max="6" width="7.7109375" bestFit="1" customWidth="1"/>
    <col min="7" max="7" width="7.5703125" bestFit="1" customWidth="1"/>
    <col min="8" max="8" width="9.140625" bestFit="1" customWidth="1"/>
    <col min="9" max="9" width="8.140625" bestFit="1" customWidth="1"/>
    <col min="10" max="10" width="8.28515625" bestFit="1" customWidth="1"/>
    <col min="11" max="11" width="9.28515625" bestFit="1" customWidth="1"/>
    <col min="15" max="15" width="14.42578125" customWidth="1"/>
  </cols>
  <sheetData>
    <row r="3" spans="1:15" ht="13.5" customHeight="1" x14ac:dyDescent="0.2">
      <c r="A3" t="s">
        <v>0</v>
      </c>
      <c r="B3" s="1" t="s">
        <v>15</v>
      </c>
      <c r="C3" s="1"/>
      <c r="D3" s="11"/>
      <c r="E3" s="2"/>
      <c r="F3" s="2"/>
      <c r="G3" s="2"/>
      <c r="H3" s="2"/>
      <c r="I3" s="2"/>
      <c r="J3" s="2"/>
      <c r="K3" s="2"/>
      <c r="L3" s="2"/>
      <c r="M3" s="2"/>
      <c r="N3" s="10"/>
      <c r="O3" s="3"/>
    </row>
    <row r="4" spans="1:15" ht="13.5" customHeight="1" thickBot="1" x14ac:dyDescent="0.25">
      <c r="B4" s="4" t="s">
        <v>24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6"/>
    </row>
    <row r="5" spans="1:15" s="100" customFormat="1" ht="12.75" customHeight="1" x14ac:dyDescent="0.2">
      <c r="B5" s="137" t="s">
        <v>13</v>
      </c>
      <c r="C5" s="138"/>
      <c r="D5" s="236" t="s">
        <v>1</v>
      </c>
      <c r="E5" s="139" t="s">
        <v>3</v>
      </c>
      <c r="F5" s="139"/>
      <c r="G5" s="139"/>
      <c r="H5" s="139"/>
      <c r="I5" s="271" t="s">
        <v>4</v>
      </c>
      <c r="J5" s="271" t="s">
        <v>5</v>
      </c>
      <c r="K5" s="273" t="s">
        <v>6</v>
      </c>
      <c r="L5" s="271" t="s">
        <v>16</v>
      </c>
      <c r="M5" s="275" t="s">
        <v>7</v>
      </c>
      <c r="N5" s="277" t="s">
        <v>8</v>
      </c>
      <c r="O5" s="269" t="s">
        <v>20</v>
      </c>
    </row>
    <row r="6" spans="1:15" s="100" customFormat="1" ht="43.5" customHeight="1" thickBot="1" x14ac:dyDescent="0.25">
      <c r="B6" s="140" t="s">
        <v>14</v>
      </c>
      <c r="C6" s="141" t="s">
        <v>12</v>
      </c>
      <c r="D6" s="237"/>
      <c r="E6" s="142" t="s">
        <v>9</v>
      </c>
      <c r="F6" s="142" t="s">
        <v>10</v>
      </c>
      <c r="G6" s="142" t="s">
        <v>11</v>
      </c>
      <c r="H6" s="142" t="s">
        <v>2</v>
      </c>
      <c r="I6" s="272"/>
      <c r="J6" s="272"/>
      <c r="K6" s="274"/>
      <c r="L6" s="272"/>
      <c r="M6" s="276"/>
      <c r="N6" s="278"/>
      <c r="O6" s="270"/>
    </row>
    <row r="7" spans="1:15" x14ac:dyDescent="0.2">
      <c r="B7" s="22">
        <v>2006</v>
      </c>
      <c r="C7" s="16">
        <v>1</v>
      </c>
      <c r="D7" s="12">
        <v>526034.88312000001</v>
      </c>
      <c r="E7" s="15">
        <v>14038.9799</v>
      </c>
      <c r="F7" s="8">
        <v>1516.02</v>
      </c>
      <c r="G7" s="8">
        <v>914.02</v>
      </c>
      <c r="H7" s="9">
        <v>16469.019899999999</v>
      </c>
      <c r="I7" s="8">
        <v>169395</v>
      </c>
      <c r="J7" s="8">
        <v>75108.450800000006</v>
      </c>
      <c r="K7" s="8">
        <v>567.95299999999997</v>
      </c>
      <c r="L7" s="8">
        <v>1298.3399999999999</v>
      </c>
      <c r="M7" s="20">
        <v>788873.64682000002</v>
      </c>
      <c r="N7" s="17">
        <v>115099.86159999999</v>
      </c>
      <c r="O7" s="18">
        <v>903973.50841999997</v>
      </c>
    </row>
    <row r="8" spans="1:15" x14ac:dyDescent="0.2">
      <c r="B8" s="7"/>
      <c r="C8" s="16">
        <v>2</v>
      </c>
      <c r="D8" s="12">
        <v>449035.8</v>
      </c>
      <c r="E8" s="15">
        <v>258089.7</v>
      </c>
      <c r="F8" s="8">
        <v>18355.599999999999</v>
      </c>
      <c r="G8" s="8">
        <v>611.29999999999995</v>
      </c>
      <c r="H8" s="9">
        <v>277056.59999999998</v>
      </c>
      <c r="I8" s="8">
        <v>25556.3</v>
      </c>
      <c r="J8" s="8">
        <v>52591</v>
      </c>
      <c r="K8" s="8">
        <v>11219</v>
      </c>
      <c r="L8" s="8">
        <v>1361.6</v>
      </c>
      <c r="M8" s="20">
        <v>816820.3</v>
      </c>
      <c r="N8" s="17">
        <v>83218.2</v>
      </c>
      <c r="O8" s="18">
        <v>900038.5</v>
      </c>
    </row>
    <row r="9" spans="1:15" x14ac:dyDescent="0.2">
      <c r="B9" s="7"/>
      <c r="C9" s="16">
        <v>3</v>
      </c>
      <c r="D9" s="12">
        <v>489468.35477528092</v>
      </c>
      <c r="E9" s="15">
        <v>23032.779000000002</v>
      </c>
      <c r="F9" s="8">
        <v>2263.0300000000002</v>
      </c>
      <c r="G9" s="8">
        <v>119165.59</v>
      </c>
      <c r="H9" s="9">
        <v>144461.399</v>
      </c>
      <c r="I9" s="8">
        <v>8727.15</v>
      </c>
      <c r="J9" s="8">
        <v>62037.1</v>
      </c>
      <c r="K9" s="8">
        <v>892.93</v>
      </c>
      <c r="L9" s="8">
        <v>1387.39</v>
      </c>
      <c r="M9" s="20">
        <v>706974.32377528097</v>
      </c>
      <c r="N9" s="17">
        <v>85803.23</v>
      </c>
      <c r="O9" s="18">
        <v>792777.55377528095</v>
      </c>
    </row>
    <row r="10" spans="1:15" x14ac:dyDescent="0.2">
      <c r="B10" s="7"/>
      <c r="C10" s="16">
        <v>4</v>
      </c>
      <c r="D10" s="12">
        <v>480877.39899999998</v>
      </c>
      <c r="E10" s="15">
        <v>6021.0259999999998</v>
      </c>
      <c r="F10" s="8">
        <v>4590.5560000000005</v>
      </c>
      <c r="G10" s="8">
        <v>5661.4959999999992</v>
      </c>
      <c r="H10" s="9">
        <v>16273.078</v>
      </c>
      <c r="I10" s="8">
        <v>8589.3889999999992</v>
      </c>
      <c r="J10" s="8">
        <v>62465.597999999998</v>
      </c>
      <c r="K10" s="8">
        <v>315.35900000000004</v>
      </c>
      <c r="L10" s="8">
        <v>1435.1469999999999</v>
      </c>
      <c r="M10" s="20">
        <v>569955.97</v>
      </c>
      <c r="N10" s="17">
        <v>101385.69399999999</v>
      </c>
      <c r="O10" s="18">
        <v>671341.66399999999</v>
      </c>
    </row>
    <row r="11" spans="1:15" x14ac:dyDescent="0.2">
      <c r="B11" s="7"/>
      <c r="C11" s="16">
        <v>5</v>
      </c>
      <c r="D11" s="12">
        <v>534074.47976000002</v>
      </c>
      <c r="E11" s="15">
        <v>8530.366</v>
      </c>
      <c r="F11" s="8">
        <v>1981.7669999999998</v>
      </c>
      <c r="G11" s="8">
        <v>2382.1</v>
      </c>
      <c r="H11" s="9">
        <v>12894.233</v>
      </c>
      <c r="I11" s="8">
        <v>71968.658899999995</v>
      </c>
      <c r="J11" s="8">
        <v>68411.963300000003</v>
      </c>
      <c r="K11" s="8">
        <v>325.00600000000003</v>
      </c>
      <c r="L11" s="8">
        <v>1367.3202999999999</v>
      </c>
      <c r="M11" s="20">
        <v>689041.66125999996</v>
      </c>
      <c r="N11" s="17">
        <v>97665.704000000012</v>
      </c>
      <c r="O11" s="18">
        <v>786707.36525999999</v>
      </c>
    </row>
    <row r="12" spans="1:15" x14ac:dyDescent="0.2">
      <c r="B12" s="7"/>
      <c r="C12" s="16">
        <v>6</v>
      </c>
      <c r="D12" s="12">
        <v>547954.37028000003</v>
      </c>
      <c r="E12" s="15">
        <v>80173.005999999994</v>
      </c>
      <c r="F12" s="8">
        <v>5206.9730000000009</v>
      </c>
      <c r="G12" s="8">
        <v>2200.0320000000002</v>
      </c>
      <c r="H12" s="9">
        <v>87580.010999999999</v>
      </c>
      <c r="I12" s="8">
        <v>14997.370999999999</v>
      </c>
      <c r="J12" s="8">
        <v>89022.44978000001</v>
      </c>
      <c r="K12" s="8">
        <v>3055.0280000000002</v>
      </c>
      <c r="L12" s="8">
        <v>1428.4930999999999</v>
      </c>
      <c r="M12" s="20">
        <v>744037.72316000005</v>
      </c>
      <c r="N12" s="17">
        <v>86847.888999999981</v>
      </c>
      <c r="O12" s="18">
        <v>830885.61216000002</v>
      </c>
    </row>
    <row r="13" spans="1:15" x14ac:dyDescent="0.2">
      <c r="B13" s="7"/>
      <c r="C13" s="16">
        <v>7</v>
      </c>
      <c r="D13" s="12">
        <v>543716.24399999995</v>
      </c>
      <c r="E13" s="15">
        <v>15295.616999999998</v>
      </c>
      <c r="F13" s="8">
        <v>2103.7959999999998</v>
      </c>
      <c r="G13" s="8">
        <v>122346.302</v>
      </c>
      <c r="H13" s="9">
        <v>139745.715</v>
      </c>
      <c r="I13" s="8">
        <v>82676.160999999993</v>
      </c>
      <c r="J13" s="8">
        <v>76724.350999999995</v>
      </c>
      <c r="K13" s="8">
        <v>554.40800000000002</v>
      </c>
      <c r="L13" s="8">
        <v>1341.3120000000001</v>
      </c>
      <c r="M13" s="20">
        <v>844758.19099999988</v>
      </c>
      <c r="N13" s="17">
        <v>106325.916</v>
      </c>
      <c r="O13" s="18">
        <v>951084.10699999984</v>
      </c>
    </row>
    <row r="14" spans="1:15" x14ac:dyDescent="0.2">
      <c r="B14" s="7"/>
      <c r="C14" s="16">
        <v>8</v>
      </c>
      <c r="D14" s="12">
        <v>555928.76386000006</v>
      </c>
      <c r="E14" s="15">
        <v>75076.451399999991</v>
      </c>
      <c r="F14" s="8">
        <v>1271.7340000000002</v>
      </c>
      <c r="G14" s="8">
        <v>5511.7611999999999</v>
      </c>
      <c r="H14" s="9">
        <v>81859.946599999981</v>
      </c>
      <c r="I14" s="8">
        <v>20175.5936</v>
      </c>
      <c r="J14" s="8">
        <v>77488.675199999998</v>
      </c>
      <c r="K14" s="8">
        <v>2713.8209999999995</v>
      </c>
      <c r="L14" s="8">
        <v>1409.9826</v>
      </c>
      <c r="M14" s="20">
        <v>739576.78286000004</v>
      </c>
      <c r="N14" s="17">
        <v>93979.233700000012</v>
      </c>
      <c r="O14" s="18">
        <v>833556.01656000002</v>
      </c>
    </row>
    <row r="15" spans="1:15" x14ac:dyDescent="0.2">
      <c r="B15" s="7"/>
      <c r="C15" s="16">
        <v>9</v>
      </c>
      <c r="D15" s="12">
        <v>582289.18747999996</v>
      </c>
      <c r="E15" s="15">
        <v>17252.358500000002</v>
      </c>
      <c r="F15" s="8">
        <v>950.37</v>
      </c>
      <c r="G15" s="8">
        <v>2800.2318999999998</v>
      </c>
      <c r="H15" s="9">
        <v>21002.9604</v>
      </c>
      <c r="I15" s="8">
        <v>78749.708100000003</v>
      </c>
      <c r="J15" s="8">
        <v>76029.15849999999</v>
      </c>
      <c r="K15" s="8">
        <v>561.87</v>
      </c>
      <c r="L15" s="8">
        <v>1621.5178000000001</v>
      </c>
      <c r="M15" s="20">
        <v>760254.40228000004</v>
      </c>
      <c r="N15" s="17">
        <v>68734.618999999992</v>
      </c>
      <c r="O15" s="18">
        <v>828989.02127999999</v>
      </c>
    </row>
    <row r="16" spans="1:15" x14ac:dyDescent="0.2">
      <c r="B16" s="7"/>
      <c r="C16" s="16">
        <v>10</v>
      </c>
      <c r="D16" s="12">
        <v>569659.08799999999</v>
      </c>
      <c r="E16" s="15">
        <v>75718.13</v>
      </c>
      <c r="F16" s="8">
        <v>4709.3809999999994</v>
      </c>
      <c r="G16" s="8">
        <v>3650.364</v>
      </c>
      <c r="H16" s="9">
        <v>84077.875</v>
      </c>
      <c r="I16" s="8">
        <v>16829.455999999998</v>
      </c>
      <c r="J16" s="8">
        <v>72796.359000000011</v>
      </c>
      <c r="K16" s="8">
        <v>2825.0659999999998</v>
      </c>
      <c r="L16" s="8">
        <v>1393.796</v>
      </c>
      <c r="M16" s="20">
        <v>747581.64</v>
      </c>
      <c r="N16" s="17">
        <v>77973.357000000004</v>
      </c>
      <c r="O16" s="18">
        <v>825554.99699999997</v>
      </c>
    </row>
    <row r="17" spans="2:15" x14ac:dyDescent="0.2">
      <c r="B17" s="7"/>
      <c r="C17" s="16">
        <v>11</v>
      </c>
      <c r="D17" s="12">
        <v>635154.52326999989</v>
      </c>
      <c r="E17" s="15">
        <v>19604.959599999998</v>
      </c>
      <c r="F17" s="8">
        <v>1833.7459999999999</v>
      </c>
      <c r="G17" s="8">
        <v>119406.9198</v>
      </c>
      <c r="H17" s="9">
        <v>140845.62539999999</v>
      </c>
      <c r="I17" s="8">
        <v>76930.9326</v>
      </c>
      <c r="J17" s="8">
        <v>80203.416720000008</v>
      </c>
      <c r="K17" s="8">
        <v>652.35199999999998</v>
      </c>
      <c r="L17" s="8">
        <v>1410.6338000000001</v>
      </c>
      <c r="M17" s="20">
        <v>935197.48378999997</v>
      </c>
      <c r="N17" s="17">
        <v>114495.35930000003</v>
      </c>
      <c r="O17" s="18">
        <v>1049692.8430900001</v>
      </c>
    </row>
    <row r="18" spans="2:15" ht="13.5" thickBot="1" x14ac:dyDescent="0.25">
      <c r="B18" s="7"/>
      <c r="C18" s="16">
        <v>12</v>
      </c>
      <c r="D18" s="12">
        <v>583349.40871999995</v>
      </c>
      <c r="E18" s="15">
        <v>69829.017599999992</v>
      </c>
      <c r="F18" s="8">
        <v>1542.0439999999999</v>
      </c>
      <c r="G18" s="8">
        <v>8486.6165999999994</v>
      </c>
      <c r="H18" s="9">
        <v>79857.67819999998</v>
      </c>
      <c r="I18" s="8">
        <v>23060.292500000003</v>
      </c>
      <c r="J18" s="8">
        <v>89179.048920000001</v>
      </c>
      <c r="K18" s="8">
        <v>2440.6460000000002</v>
      </c>
      <c r="L18" s="8">
        <v>1430.3105999999998</v>
      </c>
      <c r="M18" s="20">
        <v>779317.3849399999</v>
      </c>
      <c r="N18" s="17">
        <v>200483.42140000002</v>
      </c>
      <c r="O18" s="18">
        <v>979800.80633999989</v>
      </c>
    </row>
    <row r="19" spans="2:15" ht="13.5" thickBot="1" x14ac:dyDescent="0.25">
      <c r="B19" s="217" t="s">
        <v>18</v>
      </c>
      <c r="C19" s="218"/>
      <c r="D19" s="152">
        <v>6497542.5022652801</v>
      </c>
      <c r="E19" s="152">
        <v>662662.39099999995</v>
      </c>
      <c r="F19" s="152">
        <v>46325.017</v>
      </c>
      <c r="G19" s="152">
        <v>393136.73350000003</v>
      </c>
      <c r="H19" s="152">
        <v>1102124.1414999999</v>
      </c>
      <c r="I19" s="152">
        <v>597656.01269999996</v>
      </c>
      <c r="J19" s="152">
        <v>882057.57122000016</v>
      </c>
      <c r="K19" s="152">
        <v>26123.438999999998</v>
      </c>
      <c r="L19" s="152">
        <v>16885.843199999999</v>
      </c>
      <c r="M19" s="152">
        <v>9122389.5098852795</v>
      </c>
      <c r="N19" s="152">
        <v>1232012.4849999999</v>
      </c>
      <c r="O19" s="152">
        <v>10354401.994885279</v>
      </c>
    </row>
    <row r="20" spans="2:15" x14ac:dyDescent="0.2">
      <c r="B20" s="21" t="s">
        <v>19</v>
      </c>
    </row>
  </sheetData>
  <mergeCells count="9">
    <mergeCell ref="O5:O6"/>
    <mergeCell ref="B19:C19"/>
    <mergeCell ref="L5:L6"/>
    <mergeCell ref="M5:M6"/>
    <mergeCell ref="N5:N6"/>
    <mergeCell ref="I5:I6"/>
    <mergeCell ref="J5:J6"/>
    <mergeCell ref="K5:K6"/>
    <mergeCell ref="D5:D6"/>
  </mergeCells>
  <phoneticPr fontId="0" type="noConversion"/>
  <conditionalFormatting sqref="D7:O19 B19:C19">
    <cfRule type="cellIs" dxfId="14" priority="1" stopIfTrue="1" operator="equal">
      <formula>0</formula>
    </cfRule>
  </conditionalFormatting>
  <pageMargins left="0.75" right="0.75" top="1" bottom="1" header="0" footer="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20"/>
  <sheetViews>
    <sheetView workbookViewId="0">
      <selection activeCell="J30" sqref="J30"/>
    </sheetView>
  </sheetViews>
  <sheetFormatPr baseColWidth="10" defaultRowHeight="12.75" x14ac:dyDescent="0.2"/>
  <cols>
    <col min="1" max="1" width="5.140625" customWidth="1"/>
    <col min="4" max="4" width="14.42578125" customWidth="1"/>
    <col min="5" max="5" width="10.85546875" bestFit="1" customWidth="1"/>
    <col min="6" max="6" width="7.7109375" bestFit="1" customWidth="1"/>
    <col min="7" max="8" width="7.5703125" bestFit="1" customWidth="1"/>
    <col min="9" max="9" width="8.140625" bestFit="1" customWidth="1"/>
    <col min="10" max="10" width="8.28515625" bestFit="1" customWidth="1"/>
    <col min="11" max="11" width="9.28515625" bestFit="1" customWidth="1"/>
    <col min="12" max="13" width="11.28515625" customWidth="1"/>
    <col min="14" max="14" width="11.7109375" customWidth="1"/>
    <col min="15" max="15" width="14.5703125" customWidth="1"/>
  </cols>
  <sheetData>
    <row r="3" spans="1:15" ht="13.5" customHeight="1" x14ac:dyDescent="0.2">
      <c r="A3" t="s">
        <v>0</v>
      </c>
      <c r="B3" s="1" t="s">
        <v>15</v>
      </c>
      <c r="C3" s="1"/>
      <c r="D3" s="11"/>
      <c r="E3" s="2"/>
      <c r="F3" s="2"/>
      <c r="G3" s="2"/>
      <c r="H3" s="2"/>
      <c r="I3" s="2"/>
      <c r="J3" s="2"/>
      <c r="K3" s="2"/>
      <c r="L3" s="2"/>
      <c r="M3" s="2"/>
      <c r="N3" s="10"/>
      <c r="O3" s="3"/>
    </row>
    <row r="4" spans="1:15" ht="13.5" customHeight="1" thickBot="1" x14ac:dyDescent="0.25">
      <c r="B4" s="4" t="s">
        <v>25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6"/>
    </row>
    <row r="5" spans="1:15" s="100" customFormat="1" ht="12.75" customHeight="1" x14ac:dyDescent="0.2">
      <c r="B5" s="137" t="s">
        <v>13</v>
      </c>
      <c r="C5" s="138"/>
      <c r="D5" s="236" t="s">
        <v>1</v>
      </c>
      <c r="E5" s="139" t="s">
        <v>3</v>
      </c>
      <c r="F5" s="139"/>
      <c r="G5" s="139"/>
      <c r="H5" s="139"/>
      <c r="I5" s="271" t="s">
        <v>4</v>
      </c>
      <c r="J5" s="271" t="s">
        <v>5</v>
      </c>
      <c r="K5" s="273" t="s">
        <v>6</v>
      </c>
      <c r="L5" s="271" t="s">
        <v>16</v>
      </c>
      <c r="M5" s="275" t="s">
        <v>7</v>
      </c>
      <c r="N5" s="277" t="s">
        <v>8</v>
      </c>
      <c r="O5" s="269" t="s">
        <v>20</v>
      </c>
    </row>
    <row r="6" spans="1:15" s="100" customFormat="1" ht="43.5" customHeight="1" thickBot="1" x14ac:dyDescent="0.25">
      <c r="B6" s="140" t="s">
        <v>14</v>
      </c>
      <c r="C6" s="141" t="s">
        <v>12</v>
      </c>
      <c r="D6" s="237"/>
      <c r="E6" s="142" t="s">
        <v>9</v>
      </c>
      <c r="F6" s="142" t="s">
        <v>10</v>
      </c>
      <c r="G6" s="142" t="s">
        <v>11</v>
      </c>
      <c r="H6" s="142" t="s">
        <v>2</v>
      </c>
      <c r="I6" s="272"/>
      <c r="J6" s="272"/>
      <c r="K6" s="274"/>
      <c r="L6" s="272"/>
      <c r="M6" s="276"/>
      <c r="N6" s="278"/>
      <c r="O6" s="270"/>
    </row>
    <row r="7" spans="1:15" x14ac:dyDescent="0.2">
      <c r="B7" s="25">
        <v>2005</v>
      </c>
      <c r="C7" s="16">
        <v>1</v>
      </c>
      <c r="D7" s="12">
        <v>429677.04003000003</v>
      </c>
      <c r="E7" s="15">
        <v>24144.979650000001</v>
      </c>
      <c r="F7" s="8">
        <v>0</v>
      </c>
      <c r="G7" s="8">
        <v>1754.8238000000001</v>
      </c>
      <c r="H7" s="9">
        <v>25899.803449999999</v>
      </c>
      <c r="I7" s="8">
        <v>136228.8561</v>
      </c>
      <c r="J7" s="8">
        <v>54849.853719999992</v>
      </c>
      <c r="K7" s="8">
        <v>927.58523000000014</v>
      </c>
      <c r="L7" s="8">
        <v>1144.943</v>
      </c>
      <c r="M7" s="20">
        <v>648728.08153000008</v>
      </c>
      <c r="N7" s="17">
        <v>94117.805679000012</v>
      </c>
      <c r="O7" s="18">
        <v>742845.88720900007</v>
      </c>
    </row>
    <row r="8" spans="1:15" x14ac:dyDescent="0.2">
      <c r="B8" s="7"/>
      <c r="C8" s="16">
        <v>2</v>
      </c>
      <c r="D8" s="12">
        <v>353549.07816999999</v>
      </c>
      <c r="E8" s="15">
        <v>243295.92170000001</v>
      </c>
      <c r="F8" s="8">
        <v>0</v>
      </c>
      <c r="G8" s="8">
        <v>1704.8969999999999</v>
      </c>
      <c r="H8" s="9">
        <v>245000.8187</v>
      </c>
      <c r="I8" s="8">
        <v>20687.76888</v>
      </c>
      <c r="J8" s="8">
        <v>36456.385119999992</v>
      </c>
      <c r="K8" s="8">
        <v>10016.7246</v>
      </c>
      <c r="L8" s="8">
        <v>1419.2792999999999</v>
      </c>
      <c r="M8" s="20">
        <v>667130.05477000005</v>
      </c>
      <c r="N8" s="17">
        <v>77878.439739999987</v>
      </c>
      <c r="O8" s="18">
        <v>745008.49450999999</v>
      </c>
    </row>
    <row r="9" spans="1:15" x14ac:dyDescent="0.2">
      <c r="B9" s="7"/>
      <c r="C9" s="16">
        <v>3</v>
      </c>
      <c r="D9" s="12">
        <v>384675.02890999999</v>
      </c>
      <c r="E9" s="15">
        <v>25154.96974</v>
      </c>
      <c r="F9" s="8">
        <v>0</v>
      </c>
      <c r="G9" s="8">
        <v>105440.606</v>
      </c>
      <c r="H9" s="9">
        <v>130595.57574</v>
      </c>
      <c r="I9" s="8">
        <v>7670.4162699999997</v>
      </c>
      <c r="J9" s="8">
        <v>46995.759120000002</v>
      </c>
      <c r="K9" s="8">
        <v>772.69159999999988</v>
      </c>
      <c r="L9" s="8">
        <v>1206.7825</v>
      </c>
      <c r="M9" s="20">
        <v>571916.25413999998</v>
      </c>
      <c r="N9" s="17">
        <v>77125.352799999993</v>
      </c>
      <c r="O9" s="18">
        <v>649041.60693999997</v>
      </c>
    </row>
    <row r="10" spans="1:15" x14ac:dyDescent="0.2">
      <c r="B10" s="7"/>
      <c r="C10" s="16">
        <v>4</v>
      </c>
      <c r="D10" s="12">
        <v>404122.87511000002</v>
      </c>
      <c r="E10" s="15">
        <v>9206.3545300000005</v>
      </c>
      <c r="F10" s="8">
        <v>0</v>
      </c>
      <c r="G10" s="8">
        <v>11584</v>
      </c>
      <c r="H10" s="9">
        <v>20790.354530000001</v>
      </c>
      <c r="I10" s="8">
        <v>6499.9035000000013</v>
      </c>
      <c r="J10" s="8">
        <v>50735.950560000005</v>
      </c>
      <c r="K10" s="8">
        <v>316.25</v>
      </c>
      <c r="L10" s="8">
        <v>1351.0603000000001</v>
      </c>
      <c r="M10" s="20">
        <v>483816.39400000003</v>
      </c>
      <c r="N10" s="17">
        <v>70490.100000000006</v>
      </c>
      <c r="O10" s="18">
        <v>554306.49400000006</v>
      </c>
    </row>
    <row r="11" spans="1:15" x14ac:dyDescent="0.2">
      <c r="B11" s="7"/>
      <c r="C11" s="16">
        <v>5</v>
      </c>
      <c r="D11" s="12">
        <v>412128.78694400005</v>
      </c>
      <c r="E11" s="15">
        <v>7701.4977500000005</v>
      </c>
      <c r="F11" s="8">
        <v>0</v>
      </c>
      <c r="G11" s="8">
        <v>1414.1</v>
      </c>
      <c r="H11" s="9">
        <v>9115.5977500000008</v>
      </c>
      <c r="I11" s="8">
        <v>54296.152199999997</v>
      </c>
      <c r="J11" s="8">
        <v>54729.440499999997</v>
      </c>
      <c r="K11" s="8">
        <v>264.40570000000002</v>
      </c>
      <c r="L11" s="8">
        <v>1227.3154</v>
      </c>
      <c r="M11" s="20">
        <v>531761.69849400001</v>
      </c>
      <c r="N11" s="17">
        <v>96559.8</v>
      </c>
      <c r="O11" s="18">
        <v>628321.49849400006</v>
      </c>
    </row>
    <row r="12" spans="1:15" x14ac:dyDescent="0.2">
      <c r="B12" s="7"/>
      <c r="C12" s="16">
        <v>6</v>
      </c>
      <c r="D12" s="12">
        <v>440560.98728999996</v>
      </c>
      <c r="E12" s="15">
        <v>78966.992139999988</v>
      </c>
      <c r="F12" s="8">
        <v>0</v>
      </c>
      <c r="G12" s="8">
        <v>3940.8692000000001</v>
      </c>
      <c r="H12" s="9">
        <v>82907.861339999989</v>
      </c>
      <c r="I12" s="8">
        <v>12376.7364</v>
      </c>
      <c r="J12" s="8">
        <v>62393.12242</v>
      </c>
      <c r="K12" s="8">
        <v>2861.53836</v>
      </c>
      <c r="L12" s="8">
        <v>1310.3235999999999</v>
      </c>
      <c r="M12" s="20">
        <v>602410.56941</v>
      </c>
      <c r="N12" s="17">
        <v>106163.75574000002</v>
      </c>
      <c r="O12" s="18">
        <v>708574.32515000005</v>
      </c>
    </row>
    <row r="13" spans="1:15" x14ac:dyDescent="0.2">
      <c r="B13" s="7"/>
      <c r="C13" s="16">
        <v>7</v>
      </c>
      <c r="D13" s="12">
        <v>439474.39189999999</v>
      </c>
      <c r="E13" s="15">
        <v>15257.359300000002</v>
      </c>
      <c r="F13" s="8">
        <v>0</v>
      </c>
      <c r="G13" s="8">
        <v>54850.709200000005</v>
      </c>
      <c r="H13" s="9">
        <v>70108.068500000008</v>
      </c>
      <c r="I13" s="8">
        <v>59457.912100000001</v>
      </c>
      <c r="J13" s="8">
        <v>65314.295140000002</v>
      </c>
      <c r="K13" s="8">
        <v>528.40250000000003</v>
      </c>
      <c r="L13" s="8">
        <v>1189.1310000000001</v>
      </c>
      <c r="M13" s="20">
        <v>636072.20114000002</v>
      </c>
      <c r="N13" s="17">
        <v>111610.70146</v>
      </c>
      <c r="O13" s="18">
        <v>747682.90260000003</v>
      </c>
    </row>
    <row r="14" spans="1:15" x14ac:dyDescent="0.2">
      <c r="B14" s="7"/>
      <c r="C14" s="16">
        <v>8</v>
      </c>
      <c r="D14" s="12">
        <v>415209.13086000003</v>
      </c>
      <c r="E14" s="15">
        <v>77374.009999999995</v>
      </c>
      <c r="F14" s="8">
        <v>0</v>
      </c>
      <c r="G14" s="8">
        <v>3667.05</v>
      </c>
      <c r="H14" s="9">
        <v>81041.06</v>
      </c>
      <c r="I14" s="8">
        <v>13801.3644</v>
      </c>
      <c r="J14" s="8">
        <v>66203.383820000003</v>
      </c>
      <c r="K14" s="8">
        <v>2808.0912000000003</v>
      </c>
      <c r="L14" s="8">
        <v>1185.8335</v>
      </c>
      <c r="M14" s="20">
        <v>580248.86378000001</v>
      </c>
      <c r="N14" s="17">
        <v>91550.19</v>
      </c>
      <c r="O14" s="18">
        <v>671799.05377999996</v>
      </c>
    </row>
    <row r="15" spans="1:15" x14ac:dyDescent="0.2">
      <c r="B15" s="7"/>
      <c r="C15" s="16">
        <v>9</v>
      </c>
      <c r="D15" s="12">
        <v>463568.47174508037</v>
      </c>
      <c r="E15" s="15">
        <v>22384.966699999997</v>
      </c>
      <c r="F15" s="8">
        <v>0</v>
      </c>
      <c r="G15" s="8">
        <v>1982.99</v>
      </c>
      <c r="H15" s="9">
        <v>24367.956699999999</v>
      </c>
      <c r="I15" s="8">
        <v>62860.118700000006</v>
      </c>
      <c r="J15" s="8">
        <v>62192.440600000002</v>
      </c>
      <c r="K15" s="8">
        <v>779.55189999999993</v>
      </c>
      <c r="L15" s="8">
        <v>1337.1116</v>
      </c>
      <c r="M15" s="20">
        <v>615105.6512450804</v>
      </c>
      <c r="N15" s="17">
        <v>109019.98019649596</v>
      </c>
      <c r="O15" s="18">
        <v>724125.63144157641</v>
      </c>
    </row>
    <row r="16" spans="1:15" x14ac:dyDescent="0.2">
      <c r="B16" s="7"/>
      <c r="C16" s="16">
        <v>10</v>
      </c>
      <c r="D16" s="12">
        <v>432382.31800000003</v>
      </c>
      <c r="E16" s="15">
        <v>74294.978999999992</v>
      </c>
      <c r="F16" s="8">
        <v>0</v>
      </c>
      <c r="G16" s="8">
        <v>1789.356</v>
      </c>
      <c r="H16" s="9">
        <v>76084.334999999992</v>
      </c>
      <c r="I16" s="8">
        <v>12870.038999999999</v>
      </c>
      <c r="J16" s="8">
        <v>56760.004000000001</v>
      </c>
      <c r="K16" s="8">
        <v>2691.0330000000004</v>
      </c>
      <c r="L16" s="8">
        <v>1284.519</v>
      </c>
      <c r="M16" s="20">
        <v>582072.24800000002</v>
      </c>
      <c r="N16" s="17">
        <v>86951.345600000001</v>
      </c>
      <c r="O16" s="18">
        <v>669023.59360000002</v>
      </c>
    </row>
    <row r="17" spans="2:15" x14ac:dyDescent="0.2">
      <c r="B17" s="7"/>
      <c r="C17" s="16">
        <v>11</v>
      </c>
      <c r="D17" s="12">
        <v>474165.81332000007</v>
      </c>
      <c r="E17" s="15">
        <v>24179.059000000001</v>
      </c>
      <c r="F17" s="8">
        <v>0</v>
      </c>
      <c r="G17" s="8">
        <v>56037.010499999997</v>
      </c>
      <c r="H17" s="9">
        <v>80216.069499999998</v>
      </c>
      <c r="I17" s="8">
        <v>67726.904899999994</v>
      </c>
      <c r="J17" s="8">
        <v>58850.974000000002</v>
      </c>
      <c r="K17" s="8">
        <v>838.04700000000003</v>
      </c>
      <c r="L17" s="8">
        <v>1276.1131</v>
      </c>
      <c r="M17" s="20">
        <v>683073.92182000005</v>
      </c>
      <c r="N17" s="17">
        <v>87931.780499999979</v>
      </c>
      <c r="O17" s="18">
        <v>771005.70232000004</v>
      </c>
    </row>
    <row r="18" spans="2:15" ht="13.5" thickBot="1" x14ac:dyDescent="0.25">
      <c r="B18" s="7"/>
      <c r="C18" s="16">
        <v>12</v>
      </c>
      <c r="D18" s="12">
        <v>471047.02530000004</v>
      </c>
      <c r="E18" s="15">
        <v>79326</v>
      </c>
      <c r="F18" s="8">
        <v>0</v>
      </c>
      <c r="G18" s="8">
        <v>3093.6</v>
      </c>
      <c r="H18" s="9">
        <v>82419.600000000006</v>
      </c>
      <c r="I18" s="8">
        <v>14704.4</v>
      </c>
      <c r="J18" s="8">
        <v>74130.5</v>
      </c>
      <c r="K18" s="8">
        <v>2871.4</v>
      </c>
      <c r="L18" s="8">
        <v>1268</v>
      </c>
      <c r="M18" s="20">
        <v>646440.9253</v>
      </c>
      <c r="N18" s="17">
        <v>116480.3</v>
      </c>
      <c r="O18" s="18">
        <v>762921.22530000005</v>
      </c>
    </row>
    <row r="19" spans="2:15" ht="13.5" thickBot="1" x14ac:dyDescent="0.25">
      <c r="B19" s="217" t="s">
        <v>18</v>
      </c>
      <c r="C19" s="218"/>
      <c r="D19" s="152">
        <v>5120560.9475790802</v>
      </c>
      <c r="E19" s="152">
        <v>681287.08950999996</v>
      </c>
      <c r="F19" s="152">
        <v>0</v>
      </c>
      <c r="G19" s="152">
        <v>247260.0117</v>
      </c>
      <c r="H19" s="152">
        <v>928547.10120999988</v>
      </c>
      <c r="I19" s="152">
        <v>469180.57244999998</v>
      </c>
      <c r="J19" s="152">
        <v>689612.10899999994</v>
      </c>
      <c r="K19" s="152">
        <v>25675.721089999999</v>
      </c>
      <c r="L19" s="152">
        <v>15200.4123</v>
      </c>
      <c r="M19" s="152">
        <v>7248776.8636290804</v>
      </c>
      <c r="N19" s="152">
        <v>1125879.551715496</v>
      </c>
      <c r="O19" s="152">
        <v>8374656.4153445764</v>
      </c>
    </row>
    <row r="20" spans="2:15" x14ac:dyDescent="0.2">
      <c r="B20" s="21" t="s">
        <v>19</v>
      </c>
    </row>
  </sheetData>
  <mergeCells count="9">
    <mergeCell ref="O5:O6"/>
    <mergeCell ref="B19:C19"/>
    <mergeCell ref="L5:L6"/>
    <mergeCell ref="M5:M6"/>
    <mergeCell ref="N5:N6"/>
    <mergeCell ref="I5:I6"/>
    <mergeCell ref="J5:J6"/>
    <mergeCell ref="K5:K6"/>
    <mergeCell ref="D5:D6"/>
  </mergeCells>
  <phoneticPr fontId="0" type="noConversion"/>
  <conditionalFormatting sqref="D7:O19 B19:C19">
    <cfRule type="cellIs" dxfId="13" priority="1" stopIfTrue="1" operator="equal">
      <formula>0</formula>
    </cfRule>
  </conditionalFormatting>
  <pageMargins left="0.75" right="0.75" top="1" bottom="1" header="0" footer="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20"/>
  <sheetViews>
    <sheetView workbookViewId="0">
      <selection activeCell="J30" sqref="J30"/>
    </sheetView>
  </sheetViews>
  <sheetFormatPr baseColWidth="10" defaultRowHeight="12.75" x14ac:dyDescent="0.2"/>
  <cols>
    <col min="1" max="1" width="5.140625" customWidth="1"/>
    <col min="4" max="4" width="14.42578125" customWidth="1"/>
    <col min="5" max="5" width="10.85546875" bestFit="1" customWidth="1"/>
    <col min="6" max="6" width="7.7109375" bestFit="1" customWidth="1"/>
    <col min="7" max="8" width="7.5703125" bestFit="1" customWidth="1"/>
    <col min="9" max="9" width="8.140625" bestFit="1" customWidth="1"/>
    <col min="10" max="10" width="8.28515625" bestFit="1" customWidth="1"/>
    <col min="11" max="11" width="9.28515625" bestFit="1" customWidth="1"/>
    <col min="15" max="15" width="14.28515625" customWidth="1"/>
  </cols>
  <sheetData>
    <row r="3" spans="1:15" ht="13.5" customHeight="1" x14ac:dyDescent="0.2">
      <c r="A3" t="s">
        <v>0</v>
      </c>
      <c r="B3" s="1" t="s">
        <v>15</v>
      </c>
      <c r="C3" s="1"/>
      <c r="D3" s="11"/>
      <c r="E3" s="2"/>
      <c r="F3" s="2"/>
      <c r="G3" s="2"/>
      <c r="H3" s="2"/>
      <c r="I3" s="2"/>
      <c r="J3" s="2"/>
      <c r="K3" s="2"/>
      <c r="L3" s="2"/>
      <c r="M3" s="2"/>
      <c r="N3" s="10"/>
      <c r="O3" s="3"/>
    </row>
    <row r="4" spans="1:15" ht="13.5" customHeight="1" thickBot="1" x14ac:dyDescent="0.25">
      <c r="B4" s="4" t="s">
        <v>26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6"/>
    </row>
    <row r="5" spans="1:15" s="100" customFormat="1" ht="12.75" customHeight="1" x14ac:dyDescent="0.2">
      <c r="B5" s="137" t="s">
        <v>13</v>
      </c>
      <c r="C5" s="138"/>
      <c r="D5" s="236" t="s">
        <v>1</v>
      </c>
      <c r="E5" s="139" t="s">
        <v>3</v>
      </c>
      <c r="F5" s="139"/>
      <c r="G5" s="139"/>
      <c r="H5" s="139"/>
      <c r="I5" s="271" t="s">
        <v>4</v>
      </c>
      <c r="J5" s="271" t="s">
        <v>5</v>
      </c>
      <c r="K5" s="273" t="s">
        <v>6</v>
      </c>
      <c r="L5" s="271" t="s">
        <v>16</v>
      </c>
      <c r="M5" s="275" t="s">
        <v>7</v>
      </c>
      <c r="N5" s="277" t="s">
        <v>8</v>
      </c>
      <c r="O5" s="269" t="s">
        <v>20</v>
      </c>
    </row>
    <row r="6" spans="1:15" s="100" customFormat="1" ht="43.5" customHeight="1" thickBot="1" x14ac:dyDescent="0.25">
      <c r="B6" s="140" t="s">
        <v>14</v>
      </c>
      <c r="C6" s="141" t="s">
        <v>12</v>
      </c>
      <c r="D6" s="237"/>
      <c r="E6" s="142" t="s">
        <v>9</v>
      </c>
      <c r="F6" s="142" t="s">
        <v>10</v>
      </c>
      <c r="G6" s="142" t="s">
        <v>11</v>
      </c>
      <c r="H6" s="142" t="s">
        <v>2</v>
      </c>
      <c r="I6" s="272"/>
      <c r="J6" s="272"/>
      <c r="K6" s="274"/>
      <c r="L6" s="272"/>
      <c r="M6" s="276"/>
      <c r="N6" s="278"/>
      <c r="O6" s="270"/>
    </row>
    <row r="7" spans="1:15" x14ac:dyDescent="0.2">
      <c r="B7" s="25">
        <v>2004</v>
      </c>
      <c r="C7" s="16">
        <v>1</v>
      </c>
      <c r="D7" s="12">
        <v>356876.6</v>
      </c>
      <c r="E7" s="15">
        <v>16635.2</v>
      </c>
      <c r="F7" s="8">
        <v>0</v>
      </c>
      <c r="G7" s="8">
        <v>1405.7</v>
      </c>
      <c r="H7" s="9">
        <v>18040.900000000001</v>
      </c>
      <c r="I7" s="8">
        <v>119807.9</v>
      </c>
      <c r="J7" s="8">
        <v>40009.300000000003</v>
      </c>
      <c r="K7" s="8">
        <v>799.9</v>
      </c>
      <c r="L7" s="8">
        <v>1235</v>
      </c>
      <c r="M7" s="20">
        <v>536769.6</v>
      </c>
      <c r="N7" s="17">
        <v>47616.1</v>
      </c>
      <c r="O7" s="18">
        <v>584385.69999999995</v>
      </c>
    </row>
    <row r="8" spans="1:15" x14ac:dyDescent="0.2">
      <c r="B8" s="25"/>
      <c r="C8" s="16">
        <v>2</v>
      </c>
      <c r="D8" s="12">
        <v>298745.36118000001</v>
      </c>
      <c r="E8" s="15">
        <v>210902.9877</v>
      </c>
      <c r="F8" s="8">
        <v>0</v>
      </c>
      <c r="G8" s="8">
        <v>242.03400000000002</v>
      </c>
      <c r="H8" s="9">
        <v>211145.02170000001</v>
      </c>
      <c r="I8" s="8">
        <v>10531.644</v>
      </c>
      <c r="J8" s="8">
        <v>31985.793970000002</v>
      </c>
      <c r="K8" s="8">
        <v>8615.2603999999992</v>
      </c>
      <c r="L8" s="8">
        <v>355.90859999999998</v>
      </c>
      <c r="M8" s="20">
        <v>561378.98985000001</v>
      </c>
      <c r="N8" s="17">
        <v>72381.600000000006</v>
      </c>
      <c r="O8" s="18">
        <v>633760.58984999999</v>
      </c>
    </row>
    <row r="9" spans="1:15" x14ac:dyDescent="0.2">
      <c r="B9" s="25"/>
      <c r="C9" s="16">
        <v>3</v>
      </c>
      <c r="D9" s="12">
        <v>310316.38678</v>
      </c>
      <c r="E9" s="15">
        <v>19775.996309999999</v>
      </c>
      <c r="F9" s="8">
        <v>0</v>
      </c>
      <c r="G9" s="8">
        <v>58536.38018</v>
      </c>
      <c r="H9" s="9">
        <v>78312.376489999995</v>
      </c>
      <c r="I9" s="8">
        <v>5254.7290000000003</v>
      </c>
      <c r="J9" s="8">
        <v>37462.556060000003</v>
      </c>
      <c r="K9" s="8">
        <v>766.70846000000006</v>
      </c>
      <c r="L9" s="8">
        <v>1576.9023000000002</v>
      </c>
      <c r="M9" s="20">
        <v>433689.65908999997</v>
      </c>
      <c r="N9" s="17">
        <v>111744.96330000002</v>
      </c>
      <c r="O9" s="18">
        <v>545434.62239000003</v>
      </c>
    </row>
    <row r="10" spans="1:15" x14ac:dyDescent="0.2">
      <c r="B10" s="25"/>
      <c r="C10" s="16">
        <v>4</v>
      </c>
      <c r="D10" s="12">
        <v>326125.60180999996</v>
      </c>
      <c r="E10" s="15">
        <v>10560.695209999998</v>
      </c>
      <c r="F10" s="8">
        <v>0</v>
      </c>
      <c r="G10" s="8">
        <v>4928.4137000000001</v>
      </c>
      <c r="H10" s="9">
        <v>15489.108909999999</v>
      </c>
      <c r="I10" s="8">
        <v>6825.90265</v>
      </c>
      <c r="J10" s="8">
        <v>41940.714059999998</v>
      </c>
      <c r="K10" s="8">
        <v>796.81669999999997</v>
      </c>
      <c r="L10" s="8">
        <v>1075.4279000000001</v>
      </c>
      <c r="M10" s="20">
        <v>392253.57202999998</v>
      </c>
      <c r="N10" s="17">
        <v>108327.58517770001</v>
      </c>
      <c r="O10" s="18">
        <v>500581.15720769996</v>
      </c>
    </row>
    <row r="11" spans="1:15" x14ac:dyDescent="0.2">
      <c r="B11" s="25"/>
      <c r="C11" s="16">
        <v>5</v>
      </c>
      <c r="D11" s="12">
        <v>339633.41298999998</v>
      </c>
      <c r="E11" s="15">
        <v>9460.4423999999999</v>
      </c>
      <c r="F11" s="8">
        <v>0</v>
      </c>
      <c r="G11" s="8">
        <v>1834.0574599999998</v>
      </c>
      <c r="H11" s="9">
        <v>11294.49986</v>
      </c>
      <c r="I11" s="8">
        <v>48090.970199999996</v>
      </c>
      <c r="J11" s="8">
        <v>41881.403500000008</v>
      </c>
      <c r="K11" s="8">
        <v>666.68240000000014</v>
      </c>
      <c r="L11" s="8">
        <v>383.36040000000003</v>
      </c>
      <c r="M11" s="20">
        <v>441950.32935000001</v>
      </c>
      <c r="N11" s="17">
        <v>98156.7</v>
      </c>
      <c r="O11" s="18">
        <v>540107.02934999997</v>
      </c>
    </row>
    <row r="12" spans="1:15" x14ac:dyDescent="0.2">
      <c r="B12" s="25"/>
      <c r="C12" s="16">
        <v>6</v>
      </c>
      <c r="D12" s="12">
        <v>332558.36940000003</v>
      </c>
      <c r="E12" s="15">
        <v>79526.230800000005</v>
      </c>
      <c r="F12" s="8">
        <v>0</v>
      </c>
      <c r="G12" s="8">
        <v>1357.71693</v>
      </c>
      <c r="H12" s="9">
        <v>80883.94773</v>
      </c>
      <c r="I12" s="8">
        <v>9010.949700000001</v>
      </c>
      <c r="J12" s="8">
        <v>40899.798649999997</v>
      </c>
      <c r="K12" s="8">
        <v>2943.35</v>
      </c>
      <c r="L12" s="8">
        <v>1716.0093999999999</v>
      </c>
      <c r="M12" s="20">
        <v>468012.42488000001</v>
      </c>
      <c r="N12" s="17">
        <v>79578.600000000006</v>
      </c>
      <c r="O12" s="18">
        <v>547591.02488000004</v>
      </c>
    </row>
    <row r="13" spans="1:15" x14ac:dyDescent="0.2">
      <c r="B13" s="25"/>
      <c r="C13" s="16">
        <v>7</v>
      </c>
      <c r="D13" s="12">
        <v>360359.26494000002</v>
      </c>
      <c r="E13" s="15">
        <v>12085</v>
      </c>
      <c r="F13" s="8">
        <v>0</v>
      </c>
      <c r="G13" s="8">
        <v>72388.7</v>
      </c>
      <c r="H13" s="9">
        <v>84473.7</v>
      </c>
      <c r="I13" s="8">
        <v>30324.179400000001</v>
      </c>
      <c r="J13" s="8">
        <v>40200.925630000005</v>
      </c>
      <c r="K13" s="8">
        <v>844</v>
      </c>
      <c r="L13" s="8">
        <v>781.66729999999995</v>
      </c>
      <c r="M13" s="20">
        <v>516983.73727000004</v>
      </c>
      <c r="N13" s="17">
        <v>89010.669317000007</v>
      </c>
      <c r="O13" s="18">
        <v>605994.406587</v>
      </c>
    </row>
    <row r="14" spans="1:15" x14ac:dyDescent="0.2">
      <c r="B14" s="25"/>
      <c r="C14" s="16">
        <v>8</v>
      </c>
      <c r="D14" s="12">
        <v>341845.52067</v>
      </c>
      <c r="E14" s="15">
        <v>78584.619220000008</v>
      </c>
      <c r="F14" s="8">
        <v>0</v>
      </c>
      <c r="G14" s="8">
        <v>6202.7445000000007</v>
      </c>
      <c r="H14" s="9">
        <v>84787.363720000008</v>
      </c>
      <c r="I14" s="8">
        <v>12398.463869999998</v>
      </c>
      <c r="J14" s="8">
        <v>45495.303749999992</v>
      </c>
      <c r="K14" s="8">
        <v>2844.6265000000003</v>
      </c>
      <c r="L14" s="8">
        <v>810.36199999999997</v>
      </c>
      <c r="M14" s="20">
        <v>488181.64051</v>
      </c>
      <c r="N14" s="17">
        <v>108902.56200000001</v>
      </c>
      <c r="O14" s="18">
        <v>597084.20250999997</v>
      </c>
    </row>
    <row r="15" spans="1:15" x14ac:dyDescent="0.2">
      <c r="B15" s="25"/>
      <c r="C15" s="16">
        <v>9</v>
      </c>
      <c r="D15" s="12">
        <v>363870.24513000005</v>
      </c>
      <c r="E15" s="15">
        <v>18782.30917</v>
      </c>
      <c r="F15" s="8">
        <v>0</v>
      </c>
      <c r="G15" s="8">
        <v>2213.9899999999998</v>
      </c>
      <c r="H15" s="9">
        <v>20996.299169999998</v>
      </c>
      <c r="I15" s="8">
        <v>60285.37436999999</v>
      </c>
      <c r="J15" s="8">
        <v>47303.742790000004</v>
      </c>
      <c r="K15" s="8">
        <v>612.94659999999999</v>
      </c>
      <c r="L15" s="8">
        <v>1050.7625</v>
      </c>
      <c r="M15" s="20">
        <v>494119.37056000007</v>
      </c>
      <c r="N15" s="17">
        <v>92078.774570000009</v>
      </c>
      <c r="O15" s="18">
        <v>586198.14513000008</v>
      </c>
    </row>
    <row r="16" spans="1:15" x14ac:dyDescent="0.2">
      <c r="B16" s="25"/>
      <c r="C16" s="16">
        <v>10</v>
      </c>
      <c r="D16" s="12">
        <v>353421.60225</v>
      </c>
      <c r="E16" s="15">
        <v>81588.64559</v>
      </c>
      <c r="F16" s="8">
        <v>0</v>
      </c>
      <c r="G16" s="8">
        <v>3100</v>
      </c>
      <c r="H16" s="9">
        <v>84688.64559</v>
      </c>
      <c r="I16" s="8">
        <v>16695.080300000001</v>
      </c>
      <c r="J16" s="8">
        <v>47099.282550000004</v>
      </c>
      <c r="K16" s="8">
        <v>2768.4069099999992</v>
      </c>
      <c r="L16" s="8">
        <v>1507.8738999999998</v>
      </c>
      <c r="M16" s="20">
        <v>506180.89150000003</v>
      </c>
      <c r="N16" s="17">
        <v>90436.1</v>
      </c>
      <c r="O16" s="18">
        <v>596616.9915</v>
      </c>
    </row>
    <row r="17" spans="2:15" x14ac:dyDescent="0.2">
      <c r="B17" s="25"/>
      <c r="C17" s="16">
        <v>11</v>
      </c>
      <c r="D17" s="12">
        <v>386994.36216000002</v>
      </c>
      <c r="E17" s="15">
        <v>18458.992600000001</v>
      </c>
      <c r="F17" s="8">
        <v>0</v>
      </c>
      <c r="G17" s="8">
        <v>63607</v>
      </c>
      <c r="H17" s="9">
        <v>82065.992599999998</v>
      </c>
      <c r="I17" s="8">
        <v>37038.09276</v>
      </c>
      <c r="J17" s="8">
        <v>44412.968829999998</v>
      </c>
      <c r="K17" s="8">
        <v>630.4443</v>
      </c>
      <c r="L17" s="8">
        <v>1077.9237000000001</v>
      </c>
      <c r="M17" s="20">
        <v>552219.78435000009</v>
      </c>
      <c r="N17" s="17">
        <v>86132.981</v>
      </c>
      <c r="O17" s="18">
        <v>638352.76535000012</v>
      </c>
    </row>
    <row r="18" spans="2:15" ht="13.5" thickBot="1" x14ac:dyDescent="0.25">
      <c r="B18" s="25"/>
      <c r="C18" s="16">
        <v>12</v>
      </c>
      <c r="D18" s="12">
        <v>368289.28454999998</v>
      </c>
      <c r="E18" s="15">
        <v>86320.559329999989</v>
      </c>
      <c r="F18" s="8">
        <v>0</v>
      </c>
      <c r="G18" s="8">
        <v>3338.9</v>
      </c>
      <c r="H18" s="9">
        <v>89659.459329999983</v>
      </c>
      <c r="I18" s="8">
        <v>14750.44621</v>
      </c>
      <c r="J18" s="8">
        <v>55635.93955000001</v>
      </c>
      <c r="K18" s="8">
        <v>2952.9121300000002</v>
      </c>
      <c r="L18" s="8">
        <v>906.43979999999988</v>
      </c>
      <c r="M18" s="20">
        <v>532194.48156999995</v>
      </c>
      <c r="N18" s="17">
        <v>79961.579778000014</v>
      </c>
      <c r="O18" s="18">
        <v>612156.06134799996</v>
      </c>
    </row>
    <row r="19" spans="2:15" ht="13.5" thickBot="1" x14ac:dyDescent="0.25">
      <c r="B19" s="217" t="s">
        <v>18</v>
      </c>
      <c r="C19" s="218"/>
      <c r="D19" s="152">
        <v>4139036.01186</v>
      </c>
      <c r="E19" s="152">
        <v>642681.67833000002</v>
      </c>
      <c r="F19" s="152">
        <v>0</v>
      </c>
      <c r="G19" s="152">
        <v>219155.63676999998</v>
      </c>
      <c r="H19" s="152">
        <v>861837.31510000001</v>
      </c>
      <c r="I19" s="152">
        <v>371013.73246000003</v>
      </c>
      <c r="J19" s="152">
        <v>514327.72933999996</v>
      </c>
      <c r="K19" s="152">
        <v>25242.054399999997</v>
      </c>
      <c r="L19" s="152">
        <v>12477.6378</v>
      </c>
      <c r="M19" s="152">
        <v>5923934.4809599994</v>
      </c>
      <c r="N19" s="152">
        <v>1064328.2151427001</v>
      </c>
      <c r="O19" s="152">
        <v>6988262.6961026993</v>
      </c>
    </row>
    <row r="20" spans="2:15" x14ac:dyDescent="0.2">
      <c r="B20" s="21" t="s">
        <v>19</v>
      </c>
    </row>
  </sheetData>
  <mergeCells count="9">
    <mergeCell ref="O5:O6"/>
    <mergeCell ref="B19:C19"/>
    <mergeCell ref="L5:L6"/>
    <mergeCell ref="M5:M6"/>
    <mergeCell ref="N5:N6"/>
    <mergeCell ref="I5:I6"/>
    <mergeCell ref="J5:J6"/>
    <mergeCell ref="K5:K6"/>
    <mergeCell ref="D5:D6"/>
  </mergeCells>
  <phoneticPr fontId="0" type="noConversion"/>
  <conditionalFormatting sqref="D7:O19 B19:C19">
    <cfRule type="cellIs" dxfId="12" priority="1" stopIfTrue="1" operator="equal">
      <formula>0</formula>
    </cfRule>
  </conditionalFormatting>
  <pageMargins left="0.75" right="0.75" top="1" bottom="1" header="0" footer="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20"/>
  <sheetViews>
    <sheetView workbookViewId="0">
      <selection activeCell="J30" sqref="J30"/>
    </sheetView>
  </sheetViews>
  <sheetFormatPr baseColWidth="10" defaultRowHeight="12.75" x14ac:dyDescent="0.2"/>
  <cols>
    <col min="1" max="1" width="5.140625" customWidth="1"/>
    <col min="4" max="4" width="14.42578125" customWidth="1"/>
    <col min="5" max="5" width="10.85546875" bestFit="1" customWidth="1"/>
    <col min="6" max="6" width="7.7109375" bestFit="1" customWidth="1"/>
    <col min="7" max="7" width="7.5703125" bestFit="1" customWidth="1"/>
    <col min="9" max="9" width="8.140625" bestFit="1" customWidth="1"/>
    <col min="10" max="10" width="8.28515625" bestFit="1" customWidth="1"/>
    <col min="11" max="11" width="9.28515625" bestFit="1" customWidth="1"/>
    <col min="15" max="15" width="14.85546875" customWidth="1"/>
  </cols>
  <sheetData>
    <row r="3" spans="1:15" ht="13.5" customHeight="1" x14ac:dyDescent="0.2">
      <c r="A3" t="s">
        <v>0</v>
      </c>
      <c r="B3" s="1" t="s">
        <v>15</v>
      </c>
      <c r="C3" s="1"/>
      <c r="D3" s="11"/>
      <c r="E3" s="2"/>
      <c r="F3" s="2"/>
      <c r="G3" s="2"/>
      <c r="H3" s="2"/>
      <c r="I3" s="2"/>
      <c r="J3" s="2"/>
      <c r="K3" s="2"/>
      <c r="L3" s="2"/>
      <c r="M3" s="2"/>
      <c r="N3" s="10"/>
      <c r="O3" s="3"/>
    </row>
    <row r="4" spans="1:15" ht="13.5" customHeight="1" thickBot="1" x14ac:dyDescent="0.25">
      <c r="B4" s="4" t="s">
        <v>27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6"/>
    </row>
    <row r="5" spans="1:15" s="100" customFormat="1" ht="12.75" customHeight="1" x14ac:dyDescent="0.2">
      <c r="B5" s="137" t="s">
        <v>13</v>
      </c>
      <c r="C5" s="138"/>
      <c r="D5" s="236" t="s">
        <v>1</v>
      </c>
      <c r="E5" s="139" t="s">
        <v>3</v>
      </c>
      <c r="F5" s="139"/>
      <c r="G5" s="139"/>
      <c r="H5" s="139"/>
      <c r="I5" s="271" t="s">
        <v>4</v>
      </c>
      <c r="J5" s="271" t="s">
        <v>5</v>
      </c>
      <c r="K5" s="273" t="s">
        <v>6</v>
      </c>
      <c r="L5" s="271" t="s">
        <v>16</v>
      </c>
      <c r="M5" s="275" t="s">
        <v>7</v>
      </c>
      <c r="N5" s="277" t="s">
        <v>8</v>
      </c>
      <c r="O5" s="269" t="s">
        <v>20</v>
      </c>
    </row>
    <row r="6" spans="1:15" s="100" customFormat="1" ht="43.5" customHeight="1" thickBot="1" x14ac:dyDescent="0.25">
      <c r="B6" s="140" t="s">
        <v>14</v>
      </c>
      <c r="C6" s="141" t="s">
        <v>12</v>
      </c>
      <c r="D6" s="237"/>
      <c r="E6" s="142" t="s">
        <v>9</v>
      </c>
      <c r="F6" s="142" t="s">
        <v>10</v>
      </c>
      <c r="G6" s="142" t="s">
        <v>11</v>
      </c>
      <c r="H6" s="142" t="s">
        <v>2</v>
      </c>
      <c r="I6" s="272"/>
      <c r="J6" s="272"/>
      <c r="K6" s="274"/>
      <c r="L6" s="272"/>
      <c r="M6" s="276"/>
      <c r="N6" s="278"/>
      <c r="O6" s="270"/>
    </row>
    <row r="7" spans="1:15" x14ac:dyDescent="0.2">
      <c r="B7" s="25">
        <v>2003</v>
      </c>
      <c r="C7" s="16">
        <v>1</v>
      </c>
      <c r="D7" s="23">
        <v>255745.56370999996</v>
      </c>
      <c r="E7" s="15">
        <v>19001.99048</v>
      </c>
      <c r="F7" s="8">
        <v>0</v>
      </c>
      <c r="G7" s="8">
        <v>1986.5367000000001</v>
      </c>
      <c r="H7" s="9">
        <v>20988.527180000001</v>
      </c>
      <c r="I7" s="8">
        <v>101081.0665</v>
      </c>
      <c r="J7" s="8">
        <v>37817.396850000005</v>
      </c>
      <c r="K7" s="8">
        <v>694.60723000000007</v>
      </c>
      <c r="L7" s="8">
        <v>312.82089999999999</v>
      </c>
      <c r="M7" s="20">
        <v>416639.98236999998</v>
      </c>
      <c r="N7" s="17">
        <v>76873.877190000014</v>
      </c>
      <c r="O7" s="18">
        <v>493513.85956000001</v>
      </c>
    </row>
    <row r="8" spans="1:15" x14ac:dyDescent="0.2">
      <c r="B8" s="25"/>
      <c r="C8" s="16">
        <v>2</v>
      </c>
      <c r="D8" s="12">
        <v>230652.53100000002</v>
      </c>
      <c r="E8" s="15">
        <v>161507</v>
      </c>
      <c r="F8" s="8">
        <v>0</v>
      </c>
      <c r="G8" s="8">
        <v>2781</v>
      </c>
      <c r="H8" s="9">
        <v>164288</v>
      </c>
      <c r="I8" s="8">
        <v>17619.5</v>
      </c>
      <c r="J8" s="8">
        <v>25342.3</v>
      </c>
      <c r="K8" s="8">
        <v>6470.4</v>
      </c>
      <c r="L8" s="8">
        <v>338.6</v>
      </c>
      <c r="M8" s="20">
        <v>444711.33100000001</v>
      </c>
      <c r="N8" s="17">
        <v>55664.800000000003</v>
      </c>
      <c r="O8" s="18">
        <v>500376.13099999999</v>
      </c>
    </row>
    <row r="9" spans="1:15" x14ac:dyDescent="0.2">
      <c r="B9" s="25"/>
      <c r="C9" s="16">
        <v>3</v>
      </c>
      <c r="D9" s="12">
        <v>226499.14</v>
      </c>
      <c r="E9" s="15">
        <v>18712.900000000001</v>
      </c>
      <c r="F9" s="8">
        <v>0</v>
      </c>
      <c r="G9" s="8">
        <v>50922.6</v>
      </c>
      <c r="H9" s="9">
        <v>69635.5</v>
      </c>
      <c r="I9" s="8">
        <v>10770.5</v>
      </c>
      <c r="J9" s="8">
        <v>30760.3</v>
      </c>
      <c r="K9" s="8">
        <v>1052.0999999999999</v>
      </c>
      <c r="L9" s="8">
        <v>351.4</v>
      </c>
      <c r="M9" s="20">
        <v>339068.94</v>
      </c>
      <c r="N9" s="17">
        <v>67068.800000000003</v>
      </c>
      <c r="O9" s="18">
        <v>406137.74</v>
      </c>
    </row>
    <row r="10" spans="1:15" x14ac:dyDescent="0.2">
      <c r="B10" s="25"/>
      <c r="C10" s="16">
        <v>4</v>
      </c>
      <c r="D10" s="12">
        <v>241419.717</v>
      </c>
      <c r="E10" s="15">
        <v>11838.9</v>
      </c>
      <c r="F10" s="8">
        <v>0</v>
      </c>
      <c r="G10" s="8">
        <v>2931.7</v>
      </c>
      <c r="H10" s="9">
        <v>14770.6</v>
      </c>
      <c r="I10" s="8">
        <v>7905.3</v>
      </c>
      <c r="J10" s="8">
        <v>32433.3</v>
      </c>
      <c r="K10" s="8">
        <v>713.4</v>
      </c>
      <c r="L10" s="8">
        <v>347.4</v>
      </c>
      <c r="M10" s="20">
        <v>297589.717</v>
      </c>
      <c r="N10" s="17">
        <v>65843.399999999994</v>
      </c>
      <c r="O10" s="18">
        <v>363433.11699999997</v>
      </c>
    </row>
    <row r="11" spans="1:15" x14ac:dyDescent="0.2">
      <c r="B11" s="25"/>
      <c r="C11" s="16">
        <v>5</v>
      </c>
      <c r="D11" s="12">
        <v>249562.34234999999</v>
      </c>
      <c r="E11" s="15">
        <v>7749.2611999999999</v>
      </c>
      <c r="F11" s="8">
        <v>0</v>
      </c>
      <c r="G11" s="8">
        <v>1762.9184</v>
      </c>
      <c r="H11" s="9">
        <v>9512.1795999999995</v>
      </c>
      <c r="I11" s="8">
        <v>69543.407300000006</v>
      </c>
      <c r="J11" s="8">
        <v>34544.549870000003</v>
      </c>
      <c r="K11" s="8">
        <v>524.99900000000002</v>
      </c>
      <c r="L11" s="8">
        <v>367.40979999999996</v>
      </c>
      <c r="M11" s="20">
        <v>364054.88792000001</v>
      </c>
      <c r="N11" s="17">
        <v>57691.156800000004</v>
      </c>
      <c r="O11" s="18">
        <v>421746.04472000001</v>
      </c>
    </row>
    <row r="12" spans="1:15" x14ac:dyDescent="0.2">
      <c r="B12" s="25"/>
      <c r="C12" s="16">
        <v>6</v>
      </c>
      <c r="D12" s="12">
        <v>243227.2</v>
      </c>
      <c r="E12" s="15">
        <v>73831</v>
      </c>
      <c r="F12" s="8">
        <v>0</v>
      </c>
      <c r="G12" s="8">
        <v>2363.9</v>
      </c>
      <c r="H12" s="9">
        <v>76194.899999999994</v>
      </c>
      <c r="I12" s="8">
        <v>13628.3</v>
      </c>
      <c r="J12" s="8">
        <v>34216.699999999997</v>
      </c>
      <c r="K12" s="8">
        <v>3135.8</v>
      </c>
      <c r="L12" s="8">
        <v>875.5</v>
      </c>
      <c r="M12" s="20">
        <v>371278.4</v>
      </c>
      <c r="N12" s="17">
        <v>56157.8</v>
      </c>
      <c r="O12" s="18">
        <v>427436.2</v>
      </c>
    </row>
    <row r="13" spans="1:15" x14ac:dyDescent="0.2">
      <c r="B13" s="25"/>
      <c r="C13" s="16">
        <v>7</v>
      </c>
      <c r="D13" s="12">
        <v>266106.22645000002</v>
      </c>
      <c r="E13" s="15">
        <v>20116.766799999998</v>
      </c>
      <c r="F13" s="8">
        <v>0</v>
      </c>
      <c r="G13" s="8">
        <v>55700.473500000007</v>
      </c>
      <c r="H13" s="9">
        <v>75817.240300000005</v>
      </c>
      <c r="I13" s="8">
        <v>11542.0625</v>
      </c>
      <c r="J13" s="8">
        <v>37315.500820000001</v>
      </c>
      <c r="K13" s="8">
        <v>1108</v>
      </c>
      <c r="L13" s="8">
        <v>1973.4</v>
      </c>
      <c r="M13" s="20">
        <v>393862.43007</v>
      </c>
      <c r="N13" s="17">
        <v>68060.503500000006</v>
      </c>
      <c r="O13" s="18">
        <v>461922.93356999999</v>
      </c>
    </row>
    <row r="14" spans="1:15" x14ac:dyDescent="0.2">
      <c r="B14" s="25"/>
      <c r="C14" s="16">
        <v>8</v>
      </c>
      <c r="D14" s="12">
        <v>254654.95685000002</v>
      </c>
      <c r="E14" s="15">
        <v>77481.242899999997</v>
      </c>
      <c r="F14" s="8">
        <v>0</v>
      </c>
      <c r="G14" s="8">
        <v>4490.4861000000001</v>
      </c>
      <c r="H14" s="9">
        <v>81971.728999999992</v>
      </c>
      <c r="I14" s="8">
        <v>11119.864699999998</v>
      </c>
      <c r="J14" s="8">
        <v>38328.22782</v>
      </c>
      <c r="K14" s="8">
        <v>3210.4948000000004</v>
      </c>
      <c r="L14" s="8">
        <v>532.89599999999996</v>
      </c>
      <c r="M14" s="20">
        <v>389818.16917000001</v>
      </c>
      <c r="N14" s="17">
        <v>59920.803999999996</v>
      </c>
      <c r="O14" s="18">
        <v>449738.97317000001</v>
      </c>
    </row>
    <row r="15" spans="1:15" x14ac:dyDescent="0.2">
      <c r="B15" s="25"/>
      <c r="C15" s="16">
        <v>9</v>
      </c>
      <c r="D15" s="12">
        <v>280784.47519999999</v>
      </c>
      <c r="E15" s="15">
        <v>12473.702219999999</v>
      </c>
      <c r="F15" s="8">
        <v>0</v>
      </c>
      <c r="G15" s="8">
        <v>2180.1278000000002</v>
      </c>
      <c r="H15" s="9">
        <v>14653.830019999999</v>
      </c>
      <c r="I15" s="8">
        <v>89716.309299999994</v>
      </c>
      <c r="J15" s="8">
        <v>34558.537429999997</v>
      </c>
      <c r="K15" s="8">
        <v>647.02278000000001</v>
      </c>
      <c r="L15" s="8">
        <v>1803.3731</v>
      </c>
      <c r="M15" s="20">
        <v>422163.54782999994</v>
      </c>
      <c r="N15" s="17">
        <v>67008.399999999994</v>
      </c>
      <c r="O15" s="18">
        <v>489171.94782999996</v>
      </c>
    </row>
    <row r="16" spans="1:15" x14ac:dyDescent="0.2">
      <c r="B16" s="25"/>
      <c r="C16" s="16">
        <v>10</v>
      </c>
      <c r="D16" s="12">
        <v>275569.42691000004</v>
      </c>
      <c r="E16" s="15">
        <v>75657.231799999994</v>
      </c>
      <c r="F16" s="8">
        <v>0</v>
      </c>
      <c r="G16" s="8">
        <v>2490.4</v>
      </c>
      <c r="H16" s="9">
        <v>78147.631799999988</v>
      </c>
      <c r="I16" s="8">
        <v>18181.2</v>
      </c>
      <c r="J16" s="8">
        <v>39330.769310000003</v>
      </c>
      <c r="K16" s="8">
        <v>3024.5891000000001</v>
      </c>
      <c r="L16" s="8">
        <v>673.7</v>
      </c>
      <c r="M16" s="20">
        <v>414927.31712000002</v>
      </c>
      <c r="N16" s="17">
        <v>79682.8</v>
      </c>
      <c r="O16" s="18">
        <v>494610.11712000001</v>
      </c>
    </row>
    <row r="17" spans="2:15" x14ac:dyDescent="0.2">
      <c r="B17" s="25"/>
      <c r="C17" s="16">
        <v>11</v>
      </c>
      <c r="D17" s="12">
        <v>301656.12724000006</v>
      </c>
      <c r="E17" s="15">
        <v>23339.369699999999</v>
      </c>
      <c r="F17" s="8">
        <v>0</v>
      </c>
      <c r="G17" s="8">
        <v>52408.041000000005</v>
      </c>
      <c r="H17" s="9">
        <v>75747.410700000008</v>
      </c>
      <c r="I17" s="8">
        <v>7294.2736000000004</v>
      </c>
      <c r="J17" s="8">
        <v>36667.27362</v>
      </c>
      <c r="K17" s="8">
        <v>1127.8811000000001</v>
      </c>
      <c r="L17" s="8">
        <v>602.01389999999992</v>
      </c>
      <c r="M17" s="20">
        <v>423094.98016000004</v>
      </c>
      <c r="N17" s="17">
        <v>75260.100000000006</v>
      </c>
      <c r="O17" s="18">
        <v>498355.08016000001</v>
      </c>
    </row>
    <row r="18" spans="2:15" ht="13.5" thickBot="1" x14ac:dyDescent="0.25">
      <c r="B18" s="25"/>
      <c r="C18" s="16">
        <v>12</v>
      </c>
      <c r="D18" s="12">
        <v>286401.48385999998</v>
      </c>
      <c r="E18" s="15">
        <v>82880.534400000004</v>
      </c>
      <c r="F18" s="8">
        <v>0</v>
      </c>
      <c r="G18" s="8">
        <v>5647.9039999999995</v>
      </c>
      <c r="H18" s="9">
        <v>88528.438399999999</v>
      </c>
      <c r="I18" s="8">
        <v>12645.452499999999</v>
      </c>
      <c r="J18" s="8">
        <v>44314.927830000001</v>
      </c>
      <c r="K18" s="8">
        <v>3257.0926000000004</v>
      </c>
      <c r="L18" s="8">
        <v>313.17559999999997</v>
      </c>
      <c r="M18" s="20">
        <v>435460.57078999997</v>
      </c>
      <c r="N18" s="17">
        <v>66875.3</v>
      </c>
      <c r="O18" s="18">
        <v>502335.87078999996</v>
      </c>
    </row>
    <row r="19" spans="2:15" ht="13.5" thickBot="1" x14ac:dyDescent="0.25">
      <c r="B19" s="217" t="s">
        <v>18</v>
      </c>
      <c r="C19" s="218"/>
      <c r="D19" s="152">
        <v>3112279.1905699996</v>
      </c>
      <c r="E19" s="152">
        <v>584589.89950000006</v>
      </c>
      <c r="F19" s="152">
        <v>0</v>
      </c>
      <c r="G19" s="152">
        <v>185666.08750000002</v>
      </c>
      <c r="H19" s="152">
        <v>770255.98699999996</v>
      </c>
      <c r="I19" s="152">
        <v>371047.23640000005</v>
      </c>
      <c r="J19" s="152">
        <v>425629.78355000011</v>
      </c>
      <c r="K19" s="152">
        <v>24966.386609999998</v>
      </c>
      <c r="L19" s="152">
        <v>8491.6892999999982</v>
      </c>
      <c r="M19" s="152">
        <v>4712670.2734300001</v>
      </c>
      <c r="N19" s="152">
        <v>796107.74149000004</v>
      </c>
      <c r="O19" s="152">
        <v>5508778.0149200009</v>
      </c>
    </row>
    <row r="20" spans="2:15" x14ac:dyDescent="0.2">
      <c r="B20" s="21" t="s">
        <v>19</v>
      </c>
    </row>
  </sheetData>
  <mergeCells count="9">
    <mergeCell ref="O5:O6"/>
    <mergeCell ref="B19:C19"/>
    <mergeCell ref="L5:L6"/>
    <mergeCell ref="M5:M6"/>
    <mergeCell ref="N5:N6"/>
    <mergeCell ref="I5:I6"/>
    <mergeCell ref="J5:J6"/>
    <mergeCell ref="K5:K6"/>
    <mergeCell ref="D5:D6"/>
  </mergeCells>
  <phoneticPr fontId="0" type="noConversion"/>
  <conditionalFormatting sqref="D7:O19 B19:C19">
    <cfRule type="cellIs" dxfId="11" priority="1" stopIfTrue="1" operator="equal">
      <formula>0</formula>
    </cfRule>
  </conditionalFormatting>
  <pageMargins left="0.75" right="0.75" top="1" bottom="1" header="0" footer="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32"/>
  <sheetViews>
    <sheetView workbookViewId="0">
      <selection activeCell="J30" sqref="J30"/>
    </sheetView>
  </sheetViews>
  <sheetFormatPr baseColWidth="10" defaultRowHeight="12.75" x14ac:dyDescent="0.2"/>
  <cols>
    <col min="1" max="1" width="6.140625" customWidth="1"/>
    <col min="4" max="4" width="14.42578125" customWidth="1"/>
    <col min="15" max="15" width="15.140625" customWidth="1"/>
  </cols>
  <sheetData>
    <row r="3" spans="1:15" ht="13.5" customHeight="1" x14ac:dyDescent="0.2">
      <c r="A3" t="s">
        <v>0</v>
      </c>
      <c r="B3" s="1" t="s">
        <v>15</v>
      </c>
      <c r="C3" s="1"/>
      <c r="D3" s="11"/>
      <c r="E3" s="2"/>
      <c r="F3" s="2"/>
      <c r="G3" s="2"/>
      <c r="H3" s="2"/>
      <c r="I3" s="2"/>
      <c r="J3" s="2"/>
      <c r="K3" s="2"/>
      <c r="L3" s="2"/>
      <c r="M3" s="2"/>
      <c r="N3" s="10"/>
      <c r="O3" s="3"/>
    </row>
    <row r="4" spans="1:15" ht="13.5" customHeight="1" thickBot="1" x14ac:dyDescent="0.25">
      <c r="B4" s="4" t="s">
        <v>28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6"/>
    </row>
    <row r="5" spans="1:15" s="100" customFormat="1" ht="12.75" customHeight="1" x14ac:dyDescent="0.2">
      <c r="B5" s="137" t="s">
        <v>13</v>
      </c>
      <c r="C5" s="138"/>
      <c r="D5" s="236" t="s">
        <v>1</v>
      </c>
      <c r="E5" s="139" t="s">
        <v>3</v>
      </c>
      <c r="F5" s="139"/>
      <c r="G5" s="139"/>
      <c r="H5" s="139"/>
      <c r="I5" s="271" t="s">
        <v>4</v>
      </c>
      <c r="J5" s="271" t="s">
        <v>5</v>
      </c>
      <c r="K5" s="273" t="s">
        <v>6</v>
      </c>
      <c r="L5" s="271" t="s">
        <v>16</v>
      </c>
      <c r="M5" s="275" t="s">
        <v>7</v>
      </c>
      <c r="N5" s="277" t="s">
        <v>8</v>
      </c>
      <c r="O5" s="269" t="s">
        <v>20</v>
      </c>
    </row>
    <row r="6" spans="1:15" s="100" customFormat="1" ht="43.5" customHeight="1" thickBot="1" x14ac:dyDescent="0.25">
      <c r="B6" s="140" t="s">
        <v>14</v>
      </c>
      <c r="C6" s="141" t="s">
        <v>12</v>
      </c>
      <c r="D6" s="237"/>
      <c r="E6" s="142" t="s">
        <v>9</v>
      </c>
      <c r="F6" s="142" t="s">
        <v>10</v>
      </c>
      <c r="G6" s="142" t="s">
        <v>11</v>
      </c>
      <c r="H6" s="142" t="s">
        <v>2</v>
      </c>
      <c r="I6" s="272"/>
      <c r="J6" s="272"/>
      <c r="K6" s="274"/>
      <c r="L6" s="272"/>
      <c r="M6" s="276"/>
      <c r="N6" s="278"/>
      <c r="O6" s="270"/>
    </row>
    <row r="7" spans="1:15" x14ac:dyDescent="0.2">
      <c r="B7" s="25">
        <v>2002</v>
      </c>
      <c r="C7" s="16">
        <v>1</v>
      </c>
      <c r="D7" s="12">
        <v>147155.41399999999</v>
      </c>
      <c r="E7" s="15">
        <v>17969.8</v>
      </c>
      <c r="F7" s="8"/>
      <c r="G7" s="8">
        <v>1037.2</v>
      </c>
      <c r="H7" s="9">
        <v>19007</v>
      </c>
      <c r="I7" s="8">
        <v>66326.399999999994</v>
      </c>
      <c r="J7" s="8">
        <v>19534</v>
      </c>
      <c r="K7" s="8">
        <v>665.6</v>
      </c>
      <c r="L7" s="8">
        <v>197</v>
      </c>
      <c r="M7" s="20">
        <v>252885.41399999999</v>
      </c>
      <c r="N7" s="17">
        <v>23246.6</v>
      </c>
      <c r="O7" s="18">
        <v>276132.01399999997</v>
      </c>
    </row>
    <row r="8" spans="1:15" x14ac:dyDescent="0.2">
      <c r="B8" s="7"/>
      <c r="C8" s="16">
        <v>2</v>
      </c>
      <c r="D8" s="12">
        <v>103757.99999999999</v>
      </c>
      <c r="E8" s="15">
        <v>85532.5</v>
      </c>
      <c r="F8" s="8"/>
      <c r="G8" s="8">
        <v>12404.4</v>
      </c>
      <c r="H8" s="9">
        <v>97936.9</v>
      </c>
      <c r="I8" s="8">
        <v>15175.4</v>
      </c>
      <c r="J8" s="8">
        <v>12383.3</v>
      </c>
      <c r="K8" s="8">
        <v>3441.4</v>
      </c>
      <c r="L8" s="8">
        <v>238.4</v>
      </c>
      <c r="M8" s="20">
        <v>232933.39999999997</v>
      </c>
      <c r="N8" s="17">
        <v>17308.900000000001</v>
      </c>
      <c r="O8" s="18">
        <v>250242.29999999996</v>
      </c>
    </row>
    <row r="9" spans="1:15" x14ac:dyDescent="0.2">
      <c r="B9" s="7"/>
      <c r="C9" s="16">
        <v>3</v>
      </c>
      <c r="D9" s="12">
        <v>112990.67396999999</v>
      </c>
      <c r="E9" s="15">
        <v>34316.699999999997</v>
      </c>
      <c r="F9" s="8"/>
      <c r="G9" s="8">
        <v>9705.4</v>
      </c>
      <c r="H9" s="9">
        <v>44022.1</v>
      </c>
      <c r="I9" s="8">
        <v>9830.5</v>
      </c>
      <c r="J9" s="8">
        <v>10418.5</v>
      </c>
      <c r="K9" s="8">
        <v>1313.3</v>
      </c>
      <c r="L9" s="8">
        <v>239.1</v>
      </c>
      <c r="M9" s="20">
        <v>178814.17397</v>
      </c>
      <c r="N9" s="17">
        <v>12647</v>
      </c>
      <c r="O9" s="18">
        <v>191461.17397</v>
      </c>
    </row>
    <row r="10" spans="1:15" x14ac:dyDescent="0.2">
      <c r="B10" s="7"/>
      <c r="C10" s="16">
        <v>4</v>
      </c>
      <c r="D10" s="12">
        <v>118491.20746000001</v>
      </c>
      <c r="E10" s="15">
        <v>10231.8097</v>
      </c>
      <c r="F10" s="8"/>
      <c r="G10" s="8">
        <v>3198.5061000000001</v>
      </c>
      <c r="H10" s="9">
        <v>13430.3158</v>
      </c>
      <c r="I10" s="8">
        <v>9181.3107999999993</v>
      </c>
      <c r="J10" s="8">
        <v>13264.50711</v>
      </c>
      <c r="K10" s="8">
        <v>367.91849999999999</v>
      </c>
      <c r="L10" s="8">
        <v>246.5598</v>
      </c>
      <c r="M10" s="20">
        <v>154981.81946999999</v>
      </c>
      <c r="N10" s="17">
        <v>12958.818000000001</v>
      </c>
      <c r="O10" s="18">
        <v>167940.63746999999</v>
      </c>
    </row>
    <row r="11" spans="1:15" x14ac:dyDescent="0.2">
      <c r="B11" s="7"/>
      <c r="C11" s="16">
        <v>5</v>
      </c>
      <c r="D11" s="12">
        <v>194844.05900000004</v>
      </c>
      <c r="E11" s="15">
        <v>13485.9</v>
      </c>
      <c r="F11" s="8"/>
      <c r="G11" s="8">
        <v>5277.4</v>
      </c>
      <c r="H11" s="9">
        <v>18763.3</v>
      </c>
      <c r="I11" s="8">
        <v>57148.5</v>
      </c>
      <c r="J11" s="8">
        <v>47778.9</v>
      </c>
      <c r="K11" s="8">
        <v>469.9</v>
      </c>
      <c r="L11" s="8">
        <v>275.39999999999998</v>
      </c>
      <c r="M11" s="20">
        <v>319280.05900000007</v>
      </c>
      <c r="N11" s="17">
        <v>21431.9</v>
      </c>
      <c r="O11" s="18">
        <v>340711.95900000009</v>
      </c>
    </row>
    <row r="12" spans="1:15" x14ac:dyDescent="0.2">
      <c r="B12" s="7"/>
      <c r="C12" s="16">
        <v>6</v>
      </c>
      <c r="D12" s="12">
        <v>175184.44</v>
      </c>
      <c r="E12" s="15">
        <v>56392.5</v>
      </c>
      <c r="F12" s="8"/>
      <c r="G12" s="8">
        <v>3963.7</v>
      </c>
      <c r="H12" s="9">
        <v>60356.2</v>
      </c>
      <c r="I12" s="8">
        <v>22502.3</v>
      </c>
      <c r="J12" s="8">
        <v>23142.6</v>
      </c>
      <c r="K12" s="8">
        <v>2093.9</v>
      </c>
      <c r="L12" s="8">
        <v>244.4</v>
      </c>
      <c r="M12" s="20">
        <v>283523.83999999997</v>
      </c>
      <c r="N12" s="17">
        <v>114253.3</v>
      </c>
      <c r="O12" s="18">
        <v>397777.13999999996</v>
      </c>
    </row>
    <row r="13" spans="1:15" x14ac:dyDescent="0.2">
      <c r="B13" s="7"/>
      <c r="C13" s="16">
        <v>7</v>
      </c>
      <c r="D13" s="12">
        <v>200135.5</v>
      </c>
      <c r="E13" s="15">
        <v>21386.400000000001</v>
      </c>
      <c r="F13" s="8"/>
      <c r="G13" s="8">
        <v>29550.400000000001</v>
      </c>
      <c r="H13" s="9">
        <v>50936.800000000003</v>
      </c>
      <c r="I13" s="8">
        <v>14398.9</v>
      </c>
      <c r="J13" s="8">
        <v>24697.1</v>
      </c>
      <c r="K13" s="8">
        <v>770.9</v>
      </c>
      <c r="L13" s="8">
        <v>259.2</v>
      </c>
      <c r="M13" s="20">
        <v>291198.40000000002</v>
      </c>
      <c r="N13" s="17">
        <v>86389.1</v>
      </c>
      <c r="O13" s="18">
        <v>377587.5</v>
      </c>
    </row>
    <row r="14" spans="1:15" x14ac:dyDescent="0.2">
      <c r="B14" s="7"/>
      <c r="C14" s="16">
        <v>8</v>
      </c>
      <c r="D14" s="12">
        <v>191912.4431</v>
      </c>
      <c r="E14" s="15">
        <v>54147.223299999998</v>
      </c>
      <c r="F14" s="8"/>
      <c r="G14" s="8">
        <v>7672.5376999999999</v>
      </c>
      <c r="H14" s="9">
        <v>61819.760999999999</v>
      </c>
      <c r="I14" s="8">
        <v>8745.4632000000001</v>
      </c>
      <c r="J14" s="8">
        <v>27014.523580000001</v>
      </c>
      <c r="K14" s="8">
        <v>1961.6529</v>
      </c>
      <c r="L14" s="8">
        <v>263.33109999999999</v>
      </c>
      <c r="M14" s="20">
        <v>291717.17488000001</v>
      </c>
      <c r="N14" s="17">
        <v>70920.36</v>
      </c>
      <c r="O14" s="18">
        <v>362637.53487999999</v>
      </c>
    </row>
    <row r="15" spans="1:15" x14ac:dyDescent="0.2">
      <c r="B15" s="7"/>
      <c r="C15" s="16">
        <v>9</v>
      </c>
      <c r="D15" s="12">
        <v>196495.1</v>
      </c>
      <c r="E15" s="15">
        <v>23670</v>
      </c>
      <c r="F15" s="8"/>
      <c r="G15" s="8">
        <v>4435.5</v>
      </c>
      <c r="H15" s="9">
        <v>28105.5</v>
      </c>
      <c r="I15" s="8">
        <v>65036.1</v>
      </c>
      <c r="J15" s="8">
        <v>25240.400000000001</v>
      </c>
      <c r="K15" s="8">
        <v>782.8</v>
      </c>
      <c r="L15" s="8">
        <v>249.5</v>
      </c>
      <c r="M15" s="20">
        <v>315909.40000000002</v>
      </c>
      <c r="N15" s="17">
        <v>69656.7</v>
      </c>
      <c r="O15" s="18">
        <v>385566.10000000003</v>
      </c>
    </row>
    <row r="16" spans="1:15" x14ac:dyDescent="0.2">
      <c r="B16" s="7"/>
      <c r="C16" s="16">
        <v>10</v>
      </c>
      <c r="D16" s="12">
        <v>218486.5</v>
      </c>
      <c r="E16" s="15">
        <v>74081.399999999994</v>
      </c>
      <c r="F16" s="8"/>
      <c r="G16" s="8">
        <v>6975.4</v>
      </c>
      <c r="H16" s="9">
        <v>81056.799999999988</v>
      </c>
      <c r="I16" s="8">
        <v>26485.4</v>
      </c>
      <c r="J16" s="8">
        <v>30545.8</v>
      </c>
      <c r="K16" s="8">
        <v>2677.9</v>
      </c>
      <c r="L16" s="8">
        <v>262.5</v>
      </c>
      <c r="M16" s="20">
        <v>359514.9</v>
      </c>
      <c r="N16" s="17">
        <v>77274</v>
      </c>
      <c r="O16" s="18">
        <v>436788.9</v>
      </c>
    </row>
    <row r="17" spans="2:15" x14ac:dyDescent="0.2">
      <c r="B17" s="7"/>
      <c r="C17" s="16">
        <v>11</v>
      </c>
      <c r="D17" s="12">
        <v>225056.40683999998</v>
      </c>
      <c r="E17" s="15">
        <v>25944.416100000002</v>
      </c>
      <c r="F17" s="8"/>
      <c r="G17" s="8">
        <v>32017.089799999998</v>
      </c>
      <c r="H17" s="9">
        <v>57961.505900000004</v>
      </c>
      <c r="I17" s="8">
        <v>12816.473099999999</v>
      </c>
      <c r="J17" s="8">
        <v>29677.496460000002</v>
      </c>
      <c r="K17" s="8">
        <v>772.17619999999999</v>
      </c>
      <c r="L17" s="8">
        <v>253.45480000000003</v>
      </c>
      <c r="M17" s="20">
        <v>326537.51329999999</v>
      </c>
      <c r="N17" s="17">
        <v>95269.517300000007</v>
      </c>
      <c r="O17" s="18">
        <v>421807.0306</v>
      </c>
    </row>
    <row r="18" spans="2:15" ht="13.5" thickBot="1" x14ac:dyDescent="0.25">
      <c r="B18" s="7"/>
      <c r="C18" s="16">
        <v>12</v>
      </c>
      <c r="D18" s="12">
        <v>205835.2</v>
      </c>
      <c r="E18" s="15">
        <v>71428.399999999994</v>
      </c>
      <c r="F18" s="8"/>
      <c r="G18" s="8">
        <v>6590.5</v>
      </c>
      <c r="H18" s="9">
        <v>78018.899999999994</v>
      </c>
      <c r="I18" s="8">
        <v>23954.400000000001</v>
      </c>
      <c r="J18" s="8">
        <v>32352.400000000001</v>
      </c>
      <c r="K18" s="8">
        <v>2597.4</v>
      </c>
      <c r="L18" s="8">
        <v>291.2</v>
      </c>
      <c r="M18" s="20">
        <v>343049.5</v>
      </c>
      <c r="N18" s="17">
        <v>108155.4</v>
      </c>
      <c r="O18" s="18">
        <v>451204.9</v>
      </c>
    </row>
    <row r="19" spans="2:15" ht="13.5" thickBot="1" x14ac:dyDescent="0.25">
      <c r="B19" s="217" t="s">
        <v>18</v>
      </c>
      <c r="C19" s="218"/>
      <c r="D19" s="152">
        <v>2090344.9443700002</v>
      </c>
      <c r="E19" s="152">
        <v>488587.04910000006</v>
      </c>
      <c r="F19" s="152">
        <v>0</v>
      </c>
      <c r="G19" s="152">
        <v>122828.0336</v>
      </c>
      <c r="H19" s="152">
        <v>611415.08270000003</v>
      </c>
      <c r="I19" s="152">
        <v>331601.1471</v>
      </c>
      <c r="J19" s="152">
        <v>296049.52715000004</v>
      </c>
      <c r="K19" s="152">
        <v>17914.847600000001</v>
      </c>
      <c r="L19" s="152">
        <v>3020.0457000000001</v>
      </c>
      <c r="M19" s="152">
        <v>3350345.5946199996</v>
      </c>
      <c r="N19" s="152">
        <v>709511.59530000004</v>
      </c>
      <c r="O19" s="152">
        <v>4059857.1899199998</v>
      </c>
    </row>
    <row r="20" spans="2:15" x14ac:dyDescent="0.2">
      <c r="B20" s="21" t="s">
        <v>19</v>
      </c>
    </row>
    <row r="21" spans="2:15" x14ac:dyDescent="0.2">
      <c r="C21" s="26"/>
    </row>
    <row r="22" spans="2:15" x14ac:dyDescent="0.2">
      <c r="C22" s="26"/>
    </row>
    <row r="23" spans="2:15" x14ac:dyDescent="0.2">
      <c r="C23" s="26"/>
    </row>
    <row r="24" spans="2:15" x14ac:dyDescent="0.2">
      <c r="C24" s="26"/>
    </row>
    <row r="25" spans="2:15" x14ac:dyDescent="0.2">
      <c r="C25" s="26"/>
    </row>
    <row r="26" spans="2:15" x14ac:dyDescent="0.2">
      <c r="C26" s="26"/>
    </row>
    <row r="27" spans="2:15" x14ac:dyDescent="0.2">
      <c r="C27" s="26"/>
    </row>
    <row r="28" spans="2:15" x14ac:dyDescent="0.2">
      <c r="C28" s="26"/>
    </row>
    <row r="29" spans="2:15" x14ac:dyDescent="0.2">
      <c r="C29" s="26"/>
    </row>
    <row r="30" spans="2:15" x14ac:dyDescent="0.2">
      <c r="C30" s="26"/>
    </row>
    <row r="31" spans="2:15" x14ac:dyDescent="0.2">
      <c r="C31" s="26"/>
    </row>
    <row r="32" spans="2:15" x14ac:dyDescent="0.2">
      <c r="C32" s="26"/>
    </row>
  </sheetData>
  <mergeCells count="9">
    <mergeCell ref="M5:M6"/>
    <mergeCell ref="N5:N6"/>
    <mergeCell ref="O5:O6"/>
    <mergeCell ref="B19:C19"/>
    <mergeCell ref="I5:I6"/>
    <mergeCell ref="J5:J6"/>
    <mergeCell ref="K5:K6"/>
    <mergeCell ref="L5:L6"/>
    <mergeCell ref="D5:D6"/>
  </mergeCells>
  <phoneticPr fontId="0" type="noConversion"/>
  <conditionalFormatting sqref="D7:O19 B19:C19">
    <cfRule type="cellIs" dxfId="10" priority="1" stopIfTrue="1" operator="equal">
      <formula>0</formula>
    </cfRule>
  </conditionalFormatting>
  <pageMargins left="0.75" right="0.75" top="1" bottom="1" header="0" footer="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32"/>
  <sheetViews>
    <sheetView workbookViewId="0">
      <selection activeCell="J30" sqref="J30"/>
    </sheetView>
  </sheetViews>
  <sheetFormatPr baseColWidth="10" defaultRowHeight="12.75" x14ac:dyDescent="0.2"/>
  <cols>
    <col min="1" max="1" width="6.140625" customWidth="1"/>
    <col min="4" max="4" width="14.42578125" customWidth="1"/>
    <col min="15" max="15" width="14.140625" customWidth="1"/>
  </cols>
  <sheetData>
    <row r="3" spans="1:15" ht="13.5" customHeight="1" x14ac:dyDescent="0.2">
      <c r="A3" t="s">
        <v>0</v>
      </c>
      <c r="B3" s="1" t="s">
        <v>15</v>
      </c>
      <c r="C3" s="1"/>
      <c r="D3" s="11"/>
      <c r="E3" s="2"/>
      <c r="F3" s="2"/>
      <c r="G3" s="2"/>
      <c r="H3" s="2"/>
      <c r="I3" s="2"/>
      <c r="J3" s="2"/>
      <c r="K3" s="2"/>
      <c r="L3" s="2"/>
      <c r="M3" s="2"/>
      <c r="N3" s="10"/>
      <c r="O3" s="3"/>
    </row>
    <row r="4" spans="1:15" ht="13.5" customHeight="1" thickBot="1" x14ac:dyDescent="0.25">
      <c r="B4" s="4" t="s">
        <v>29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6"/>
    </row>
    <row r="5" spans="1:15" s="100" customFormat="1" ht="12.75" customHeight="1" x14ac:dyDescent="0.2">
      <c r="B5" s="137" t="s">
        <v>13</v>
      </c>
      <c r="C5" s="138"/>
      <c r="D5" s="236" t="s">
        <v>1</v>
      </c>
      <c r="E5" s="139" t="s">
        <v>3</v>
      </c>
      <c r="F5" s="139"/>
      <c r="G5" s="139"/>
      <c r="H5" s="139"/>
      <c r="I5" s="271" t="s">
        <v>4</v>
      </c>
      <c r="J5" s="271" t="s">
        <v>5</v>
      </c>
      <c r="K5" s="273" t="s">
        <v>6</v>
      </c>
      <c r="L5" s="271" t="s">
        <v>16</v>
      </c>
      <c r="M5" s="275" t="s">
        <v>7</v>
      </c>
      <c r="N5" s="277" t="s">
        <v>8</v>
      </c>
      <c r="O5" s="269" t="s">
        <v>20</v>
      </c>
    </row>
    <row r="6" spans="1:15" s="100" customFormat="1" ht="43.5" customHeight="1" thickBot="1" x14ac:dyDescent="0.25">
      <c r="B6" s="140" t="s">
        <v>14</v>
      </c>
      <c r="C6" s="141" t="s">
        <v>12</v>
      </c>
      <c r="D6" s="237"/>
      <c r="E6" s="142" t="s">
        <v>9</v>
      </c>
      <c r="F6" s="142" t="s">
        <v>10</v>
      </c>
      <c r="G6" s="142" t="s">
        <v>11</v>
      </c>
      <c r="H6" s="142" t="s">
        <v>2</v>
      </c>
      <c r="I6" s="272"/>
      <c r="J6" s="272"/>
      <c r="K6" s="274"/>
      <c r="L6" s="272"/>
      <c r="M6" s="276"/>
      <c r="N6" s="278"/>
      <c r="O6" s="270"/>
    </row>
    <row r="7" spans="1:15" x14ac:dyDescent="0.2">
      <c r="B7" s="25">
        <v>2001</v>
      </c>
      <c r="C7" s="16">
        <v>1</v>
      </c>
      <c r="D7" s="12">
        <v>191672.6</v>
      </c>
      <c r="E7" s="15">
        <v>20839.3</v>
      </c>
      <c r="F7" s="8"/>
      <c r="G7" s="8">
        <v>3639.6</v>
      </c>
      <c r="H7" s="9">
        <v>24478.899999999998</v>
      </c>
      <c r="I7" s="8">
        <v>117167.4</v>
      </c>
      <c r="J7" s="8">
        <v>36693.199999999997</v>
      </c>
      <c r="K7" s="8">
        <v>777.1</v>
      </c>
      <c r="L7" s="8">
        <v>286.60000000000002</v>
      </c>
      <c r="M7" s="20">
        <v>371075.8</v>
      </c>
      <c r="N7" s="17">
        <v>35689.599999999999</v>
      </c>
      <c r="O7" s="18">
        <v>406765.39999999997</v>
      </c>
    </row>
    <row r="8" spans="1:15" x14ac:dyDescent="0.2">
      <c r="B8" s="7"/>
      <c r="C8" s="16">
        <v>2</v>
      </c>
      <c r="D8" s="12">
        <v>145780.41999999998</v>
      </c>
      <c r="E8" s="15">
        <v>139899.6</v>
      </c>
      <c r="F8" s="8"/>
      <c r="G8" s="8">
        <v>28388.6</v>
      </c>
      <c r="H8" s="9">
        <v>168288.2</v>
      </c>
      <c r="I8" s="8">
        <v>18513.8</v>
      </c>
      <c r="J8" s="8">
        <v>26034.6</v>
      </c>
      <c r="K8" s="8">
        <v>5655.6</v>
      </c>
      <c r="L8" s="8">
        <v>310.89999999999998</v>
      </c>
      <c r="M8" s="20">
        <v>364583.52</v>
      </c>
      <c r="N8" s="17">
        <v>30352.819280000003</v>
      </c>
      <c r="O8" s="18">
        <v>394936.33928000001</v>
      </c>
    </row>
    <row r="9" spans="1:15" x14ac:dyDescent="0.2">
      <c r="B9" s="7"/>
      <c r="C9" s="16">
        <v>3</v>
      </c>
      <c r="D9" s="12">
        <v>159875.9</v>
      </c>
      <c r="E9" s="15">
        <v>21551.3</v>
      </c>
      <c r="F9" s="8"/>
      <c r="G9" s="8">
        <v>7383.7</v>
      </c>
      <c r="H9" s="9">
        <v>28935</v>
      </c>
      <c r="I9" s="8">
        <v>11432.4</v>
      </c>
      <c r="J9" s="8">
        <v>25202.400000000001</v>
      </c>
      <c r="K9" s="8">
        <v>484</v>
      </c>
      <c r="L9" s="8">
        <v>283.89999999999998</v>
      </c>
      <c r="M9" s="20">
        <v>226213.6</v>
      </c>
      <c r="N9" s="17">
        <v>29464.820050000002</v>
      </c>
      <c r="O9" s="18">
        <v>255678.42005000002</v>
      </c>
    </row>
    <row r="10" spans="1:15" x14ac:dyDescent="0.2">
      <c r="B10" s="7"/>
      <c r="C10" s="16">
        <v>4</v>
      </c>
      <c r="D10" s="12">
        <v>147601.1</v>
      </c>
      <c r="E10" s="15">
        <v>9384.4</v>
      </c>
      <c r="F10" s="8"/>
      <c r="G10" s="8">
        <v>3648.5</v>
      </c>
      <c r="H10" s="9">
        <v>13032.9</v>
      </c>
      <c r="I10" s="8">
        <v>9448.4</v>
      </c>
      <c r="J10" s="8">
        <v>24514.400000000001</v>
      </c>
      <c r="K10" s="8">
        <v>318.39999999999998</v>
      </c>
      <c r="L10" s="8">
        <v>337.3</v>
      </c>
      <c r="M10" s="20">
        <v>195252.5</v>
      </c>
      <c r="N10" s="17">
        <v>23995.61493</v>
      </c>
      <c r="O10" s="18">
        <v>219248.11493000001</v>
      </c>
    </row>
    <row r="11" spans="1:15" x14ac:dyDescent="0.2">
      <c r="B11" s="7"/>
      <c r="C11" s="16">
        <v>5</v>
      </c>
      <c r="D11" s="12">
        <v>164533.29999999996</v>
      </c>
      <c r="E11" s="15">
        <v>8946.9</v>
      </c>
      <c r="F11" s="8"/>
      <c r="G11" s="8">
        <v>2538.1999999999998</v>
      </c>
      <c r="H11" s="9">
        <v>11485.099999999999</v>
      </c>
      <c r="I11" s="8">
        <v>77314.2</v>
      </c>
      <c r="J11" s="8">
        <v>27264.6</v>
      </c>
      <c r="K11" s="8">
        <v>315.39999999999998</v>
      </c>
      <c r="L11" s="8">
        <v>294.8</v>
      </c>
      <c r="M11" s="20">
        <v>281207.39999999997</v>
      </c>
      <c r="N11" s="17">
        <v>23701.657430000003</v>
      </c>
      <c r="O11" s="18">
        <v>304909.05742999999</v>
      </c>
    </row>
    <row r="12" spans="1:15" x14ac:dyDescent="0.2">
      <c r="B12" s="7"/>
      <c r="C12" s="16">
        <v>6</v>
      </c>
      <c r="D12" s="12">
        <v>144272.19999999998</v>
      </c>
      <c r="E12" s="15">
        <v>64261.9</v>
      </c>
      <c r="F12" s="8"/>
      <c r="G12" s="8">
        <v>3614.1</v>
      </c>
      <c r="H12" s="9">
        <v>67876</v>
      </c>
      <c r="I12" s="8">
        <v>15563.5</v>
      </c>
      <c r="J12" s="8">
        <v>27151.5</v>
      </c>
      <c r="K12" s="8">
        <v>2252.4</v>
      </c>
      <c r="L12" s="8">
        <v>306.8</v>
      </c>
      <c r="M12" s="20">
        <v>257422.39999999997</v>
      </c>
      <c r="N12" s="17">
        <v>21617.687499999996</v>
      </c>
      <c r="O12" s="18">
        <v>279040.08749999997</v>
      </c>
    </row>
    <row r="13" spans="1:15" x14ac:dyDescent="0.2">
      <c r="B13" s="7"/>
      <c r="C13" s="16">
        <v>7</v>
      </c>
      <c r="D13" s="12">
        <v>156668.59999999998</v>
      </c>
      <c r="E13" s="15">
        <v>14179.4</v>
      </c>
      <c r="F13" s="8"/>
      <c r="G13" s="8">
        <v>27094.2</v>
      </c>
      <c r="H13" s="9">
        <v>41273.599999999999</v>
      </c>
      <c r="I13" s="8">
        <v>10429.6</v>
      </c>
      <c r="J13" s="8">
        <v>24425.4</v>
      </c>
      <c r="K13" s="8">
        <v>482.9</v>
      </c>
      <c r="L13" s="8">
        <v>265.39999999999998</v>
      </c>
      <c r="M13" s="20">
        <v>233545.49999999997</v>
      </c>
      <c r="N13" s="17">
        <v>20037.6865</v>
      </c>
      <c r="O13" s="18">
        <v>253583.18649999998</v>
      </c>
    </row>
    <row r="14" spans="1:15" x14ac:dyDescent="0.2">
      <c r="B14" s="7"/>
      <c r="C14" s="16">
        <v>8</v>
      </c>
      <c r="D14" s="12">
        <v>142339.4</v>
      </c>
      <c r="E14" s="15">
        <v>57734</v>
      </c>
      <c r="F14" s="8"/>
      <c r="G14" s="8">
        <v>3553.2</v>
      </c>
      <c r="H14" s="9">
        <v>61287.199999999997</v>
      </c>
      <c r="I14" s="8">
        <v>8904</v>
      </c>
      <c r="J14" s="8">
        <v>25011.4</v>
      </c>
      <c r="K14" s="8">
        <v>1936.2</v>
      </c>
      <c r="L14" s="8">
        <v>281.39999999999998</v>
      </c>
      <c r="M14" s="20">
        <v>239759.59999999998</v>
      </c>
      <c r="N14" s="17">
        <v>20477.3</v>
      </c>
      <c r="O14" s="18">
        <v>260236.89999999997</v>
      </c>
    </row>
    <row r="15" spans="1:15" x14ac:dyDescent="0.2">
      <c r="B15" s="7"/>
      <c r="C15" s="16">
        <v>9</v>
      </c>
      <c r="D15" s="12">
        <v>156599.5</v>
      </c>
      <c r="E15" s="15">
        <v>12012.4</v>
      </c>
      <c r="F15" s="8"/>
      <c r="G15" s="8">
        <v>3089.5</v>
      </c>
      <c r="H15" s="9">
        <v>15101.9</v>
      </c>
      <c r="I15" s="8">
        <v>65341.7</v>
      </c>
      <c r="J15" s="8">
        <v>24563.4</v>
      </c>
      <c r="K15" s="8">
        <v>421.6</v>
      </c>
      <c r="L15" s="8">
        <v>290.39999999999998</v>
      </c>
      <c r="M15" s="20">
        <v>262318.5</v>
      </c>
      <c r="N15" s="17">
        <v>20013.3</v>
      </c>
      <c r="O15" s="18">
        <v>282331.8</v>
      </c>
    </row>
    <row r="16" spans="1:15" x14ac:dyDescent="0.2">
      <c r="B16" s="7"/>
      <c r="C16" s="16">
        <v>10</v>
      </c>
      <c r="D16" s="12">
        <v>142098.79999999999</v>
      </c>
      <c r="E16" s="15">
        <v>55012.5</v>
      </c>
      <c r="F16" s="8"/>
      <c r="G16" s="8">
        <v>2065.4</v>
      </c>
      <c r="H16" s="9">
        <v>57077.9</v>
      </c>
      <c r="I16" s="8">
        <v>17089.400000000001</v>
      </c>
      <c r="J16" s="8">
        <v>25197.9</v>
      </c>
      <c r="K16" s="8">
        <v>1982.4</v>
      </c>
      <c r="L16" s="8">
        <v>246.2</v>
      </c>
      <c r="M16" s="20">
        <v>243692.59999999998</v>
      </c>
      <c r="N16" s="17">
        <v>26214.400000000001</v>
      </c>
      <c r="O16" s="18">
        <v>269907</v>
      </c>
    </row>
    <row r="17" spans="2:15" x14ac:dyDescent="0.2">
      <c r="B17" s="7"/>
      <c r="C17" s="16">
        <v>11</v>
      </c>
      <c r="D17" s="12">
        <v>151263</v>
      </c>
      <c r="E17" s="15">
        <v>17207</v>
      </c>
      <c r="F17" s="8"/>
      <c r="G17" s="8">
        <v>22122</v>
      </c>
      <c r="H17" s="9">
        <v>39329</v>
      </c>
      <c r="I17" s="8">
        <v>7218.4</v>
      </c>
      <c r="J17" s="8">
        <v>23105.8</v>
      </c>
      <c r="K17" s="8">
        <v>623</v>
      </c>
      <c r="L17" s="8">
        <v>249.3</v>
      </c>
      <c r="M17" s="20">
        <v>221788.5</v>
      </c>
      <c r="N17" s="17">
        <v>34112.6</v>
      </c>
      <c r="O17" s="18">
        <v>255901.1</v>
      </c>
    </row>
    <row r="18" spans="2:15" ht="13.5" thickBot="1" x14ac:dyDescent="0.25">
      <c r="B18" s="7"/>
      <c r="C18" s="16">
        <v>12</v>
      </c>
      <c r="D18" s="12">
        <v>84572.4</v>
      </c>
      <c r="E18" s="15">
        <v>35383.5</v>
      </c>
      <c r="F18" s="8"/>
      <c r="G18" s="8">
        <v>1616.4</v>
      </c>
      <c r="H18" s="9">
        <v>36999.9</v>
      </c>
      <c r="I18" s="8">
        <v>6101.4</v>
      </c>
      <c r="J18" s="8">
        <v>14315.5</v>
      </c>
      <c r="K18" s="8">
        <v>1288.4000000000001</v>
      </c>
      <c r="L18" s="8">
        <v>220.3</v>
      </c>
      <c r="M18" s="20">
        <v>143497.9</v>
      </c>
      <c r="N18" s="17">
        <v>28601.1</v>
      </c>
      <c r="O18" s="18">
        <v>172099</v>
      </c>
    </row>
    <row r="19" spans="2:15" ht="13.5" thickBot="1" x14ac:dyDescent="0.25">
      <c r="B19" s="217" t="s">
        <v>18</v>
      </c>
      <c r="C19" s="218"/>
      <c r="D19" s="152">
        <v>1787277.2199999997</v>
      </c>
      <c r="E19" s="152">
        <v>456412.2</v>
      </c>
      <c r="F19" s="152">
        <v>0</v>
      </c>
      <c r="G19" s="152">
        <v>108753.39999999998</v>
      </c>
      <c r="H19" s="152">
        <v>565165.6</v>
      </c>
      <c r="I19" s="152">
        <v>364524.2</v>
      </c>
      <c r="J19" s="152">
        <v>303480.09999999998</v>
      </c>
      <c r="K19" s="152">
        <v>16537.400000000001</v>
      </c>
      <c r="L19" s="152">
        <v>3373.3</v>
      </c>
      <c r="M19" s="152">
        <v>3040357.82</v>
      </c>
      <c r="N19" s="152">
        <v>314278.58568999998</v>
      </c>
      <c r="O19" s="152">
        <v>3354636.4056899995</v>
      </c>
    </row>
    <row r="20" spans="2:15" x14ac:dyDescent="0.2">
      <c r="B20" s="21" t="s">
        <v>19</v>
      </c>
    </row>
    <row r="21" spans="2:15" x14ac:dyDescent="0.2">
      <c r="C21" s="26"/>
    </row>
    <row r="22" spans="2:15" x14ac:dyDescent="0.2">
      <c r="C22" s="26"/>
    </row>
    <row r="23" spans="2:15" x14ac:dyDescent="0.2">
      <c r="C23" s="26"/>
    </row>
    <row r="24" spans="2:15" x14ac:dyDescent="0.2">
      <c r="C24" s="26"/>
    </row>
    <row r="25" spans="2:15" x14ac:dyDescent="0.2">
      <c r="C25" s="26"/>
    </row>
    <row r="26" spans="2:15" x14ac:dyDescent="0.2">
      <c r="C26" s="26"/>
    </row>
    <row r="27" spans="2:15" x14ac:dyDescent="0.2">
      <c r="C27" s="26"/>
    </row>
    <row r="28" spans="2:15" x14ac:dyDescent="0.2">
      <c r="C28" s="26"/>
    </row>
    <row r="29" spans="2:15" x14ac:dyDescent="0.2">
      <c r="C29" s="26"/>
    </row>
    <row r="30" spans="2:15" x14ac:dyDescent="0.2">
      <c r="C30" s="26"/>
    </row>
    <row r="31" spans="2:15" x14ac:dyDescent="0.2">
      <c r="C31" s="26"/>
    </row>
    <row r="32" spans="2:15" x14ac:dyDescent="0.2">
      <c r="C32" s="26"/>
    </row>
  </sheetData>
  <mergeCells count="9">
    <mergeCell ref="M5:M6"/>
    <mergeCell ref="N5:N6"/>
    <mergeCell ref="O5:O6"/>
    <mergeCell ref="B19:C19"/>
    <mergeCell ref="I5:I6"/>
    <mergeCell ref="J5:J6"/>
    <mergeCell ref="K5:K6"/>
    <mergeCell ref="L5:L6"/>
    <mergeCell ref="D5:D6"/>
  </mergeCells>
  <phoneticPr fontId="0" type="noConversion"/>
  <conditionalFormatting sqref="D7:O19 B19:C19">
    <cfRule type="cellIs" dxfId="9" priority="1" stopIfTrue="1" operator="equal">
      <formula>0</formula>
    </cfRule>
  </conditionalFormatting>
  <pageMargins left="0.75" right="0.75" top="1" bottom="1" header="0" footer="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32"/>
  <sheetViews>
    <sheetView workbookViewId="0">
      <selection activeCell="J30" sqref="J30"/>
    </sheetView>
  </sheetViews>
  <sheetFormatPr baseColWidth="10" defaultRowHeight="12.75" x14ac:dyDescent="0.2"/>
  <cols>
    <col min="1" max="1" width="6.140625" customWidth="1"/>
    <col min="4" max="4" width="14.42578125" customWidth="1"/>
    <col min="11" max="11" width="9.28515625" bestFit="1" customWidth="1"/>
    <col min="15" max="15" width="14.140625" customWidth="1"/>
  </cols>
  <sheetData>
    <row r="3" spans="1:15" ht="13.5" customHeight="1" x14ac:dyDescent="0.2">
      <c r="A3" t="s">
        <v>0</v>
      </c>
      <c r="B3" s="1" t="s">
        <v>15</v>
      </c>
      <c r="C3" s="1"/>
      <c r="D3" s="11"/>
      <c r="E3" s="2"/>
      <c r="F3" s="2"/>
      <c r="G3" s="2"/>
      <c r="H3" s="2"/>
      <c r="I3" s="2"/>
      <c r="J3" s="2"/>
      <c r="K3" s="2"/>
      <c r="L3" s="2"/>
      <c r="M3" s="2"/>
      <c r="N3" s="10"/>
      <c r="O3" s="3"/>
    </row>
    <row r="4" spans="1:15" ht="13.5" customHeight="1" thickBot="1" x14ac:dyDescent="0.25">
      <c r="B4" s="4" t="s">
        <v>30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6"/>
    </row>
    <row r="5" spans="1:15" s="100" customFormat="1" ht="12.75" customHeight="1" x14ac:dyDescent="0.2">
      <c r="B5" s="137" t="s">
        <v>13</v>
      </c>
      <c r="C5" s="138"/>
      <c r="D5" s="236" t="s">
        <v>1</v>
      </c>
      <c r="E5" s="139" t="s">
        <v>3</v>
      </c>
      <c r="F5" s="139"/>
      <c r="G5" s="139"/>
      <c r="H5" s="139"/>
      <c r="I5" s="271" t="s">
        <v>4</v>
      </c>
      <c r="J5" s="271" t="s">
        <v>5</v>
      </c>
      <c r="K5" s="273" t="s">
        <v>6</v>
      </c>
      <c r="L5" s="271" t="s">
        <v>16</v>
      </c>
      <c r="M5" s="275" t="s">
        <v>7</v>
      </c>
      <c r="N5" s="277" t="s">
        <v>8</v>
      </c>
      <c r="O5" s="269" t="s">
        <v>20</v>
      </c>
    </row>
    <row r="6" spans="1:15" s="100" customFormat="1" ht="43.5" customHeight="1" thickBot="1" x14ac:dyDescent="0.25">
      <c r="B6" s="140" t="s">
        <v>14</v>
      </c>
      <c r="C6" s="141" t="s">
        <v>12</v>
      </c>
      <c r="D6" s="237"/>
      <c r="E6" s="142" t="s">
        <v>9</v>
      </c>
      <c r="F6" s="142" t="s">
        <v>10</v>
      </c>
      <c r="G6" s="142" t="s">
        <v>11</v>
      </c>
      <c r="H6" s="142" t="s">
        <v>2</v>
      </c>
      <c r="I6" s="272"/>
      <c r="J6" s="272"/>
      <c r="K6" s="274"/>
      <c r="L6" s="272"/>
      <c r="M6" s="276"/>
      <c r="N6" s="278"/>
      <c r="O6" s="270"/>
    </row>
    <row r="7" spans="1:15" x14ac:dyDescent="0.2">
      <c r="B7" s="25">
        <v>2000</v>
      </c>
      <c r="C7" s="16">
        <v>1</v>
      </c>
      <c r="D7" s="12">
        <v>208582.55</v>
      </c>
      <c r="E7" s="15">
        <v>12299.4</v>
      </c>
      <c r="F7" s="8"/>
      <c r="G7" s="8">
        <v>1834</v>
      </c>
      <c r="H7" s="9">
        <v>14133.4</v>
      </c>
      <c r="I7" s="8">
        <v>119360.8</v>
      </c>
      <c r="J7" s="8">
        <v>30066.35</v>
      </c>
      <c r="K7" s="8">
        <v>432</v>
      </c>
      <c r="L7" s="8">
        <v>299.7</v>
      </c>
      <c r="M7" s="20">
        <v>372874.8</v>
      </c>
      <c r="N7" s="17">
        <v>36391.4</v>
      </c>
      <c r="O7" s="18">
        <v>409266.2</v>
      </c>
    </row>
    <row r="8" spans="1:15" x14ac:dyDescent="0.2">
      <c r="B8" s="7"/>
      <c r="C8" s="16">
        <v>2</v>
      </c>
      <c r="D8" s="12">
        <v>150302.5</v>
      </c>
      <c r="E8" s="15">
        <v>20325.5</v>
      </c>
      <c r="F8" s="8"/>
      <c r="G8" s="8">
        <v>30253.1</v>
      </c>
      <c r="H8" s="9">
        <v>50578.6</v>
      </c>
      <c r="I8" s="8">
        <v>23372.5</v>
      </c>
      <c r="J8" s="8">
        <v>18605.2</v>
      </c>
      <c r="K8" s="8">
        <v>802.2</v>
      </c>
      <c r="L8" s="8">
        <v>287.51</v>
      </c>
      <c r="M8" s="20">
        <v>243948.51</v>
      </c>
      <c r="N8" s="17">
        <v>29186.799999999999</v>
      </c>
      <c r="O8" s="18">
        <v>273135.31</v>
      </c>
    </row>
    <row r="9" spans="1:15" x14ac:dyDescent="0.2">
      <c r="B9" s="7"/>
      <c r="C9" s="16">
        <v>3</v>
      </c>
      <c r="D9" s="12">
        <v>177143.65</v>
      </c>
      <c r="E9" s="15">
        <v>136035.79999999999</v>
      </c>
      <c r="F9" s="8"/>
      <c r="G9" s="8">
        <v>6810.8</v>
      </c>
      <c r="H9" s="9">
        <v>142846.59999999998</v>
      </c>
      <c r="I9" s="8">
        <v>11520.8</v>
      </c>
      <c r="J9" s="8">
        <v>25021.200000000001</v>
      </c>
      <c r="K9" s="8">
        <v>5481</v>
      </c>
      <c r="L9" s="8">
        <v>304.2</v>
      </c>
      <c r="M9" s="20">
        <v>362317.44999999995</v>
      </c>
      <c r="N9" s="17">
        <v>26805</v>
      </c>
      <c r="O9" s="18">
        <v>389122.44999999995</v>
      </c>
    </row>
    <row r="10" spans="1:15" x14ac:dyDescent="0.2">
      <c r="B10" s="7"/>
      <c r="C10" s="16">
        <v>4</v>
      </c>
      <c r="D10" s="12">
        <v>159329.95000000001</v>
      </c>
      <c r="E10" s="15">
        <v>19511.099999999999</v>
      </c>
      <c r="F10" s="8"/>
      <c r="G10" s="8">
        <v>2705.4</v>
      </c>
      <c r="H10" s="9">
        <v>22216.5</v>
      </c>
      <c r="I10" s="8">
        <v>10851.4</v>
      </c>
      <c r="J10" s="8">
        <v>27214.9</v>
      </c>
      <c r="K10" s="8">
        <v>424.1</v>
      </c>
      <c r="L10" s="8">
        <v>303.5</v>
      </c>
      <c r="M10" s="20">
        <v>220340.35</v>
      </c>
      <c r="N10" s="17">
        <v>25117.5</v>
      </c>
      <c r="O10" s="18">
        <v>245457.85</v>
      </c>
    </row>
    <row r="11" spans="1:15" x14ac:dyDescent="0.2">
      <c r="B11" s="7"/>
      <c r="C11" s="16">
        <v>5</v>
      </c>
      <c r="D11" s="12">
        <v>177468.5</v>
      </c>
      <c r="E11" s="15">
        <v>5482.1</v>
      </c>
      <c r="F11" s="8"/>
      <c r="G11" s="8">
        <v>1299.4000000000001</v>
      </c>
      <c r="H11" s="9">
        <v>6781.5</v>
      </c>
      <c r="I11" s="8">
        <v>81598.399999999994</v>
      </c>
      <c r="J11" s="8">
        <v>24273.4</v>
      </c>
      <c r="K11" s="8">
        <v>180.9</v>
      </c>
      <c r="L11" s="8">
        <v>294.3</v>
      </c>
      <c r="M11" s="20">
        <v>290597</v>
      </c>
      <c r="N11" s="17">
        <v>26868.400000000001</v>
      </c>
      <c r="O11" s="18">
        <v>317465.40000000002</v>
      </c>
    </row>
    <row r="12" spans="1:15" x14ac:dyDescent="0.2">
      <c r="B12" s="7"/>
      <c r="C12" s="16">
        <v>6</v>
      </c>
      <c r="D12" s="12">
        <v>158213.19999999998</v>
      </c>
      <c r="E12" s="15">
        <v>66085.899999999994</v>
      </c>
      <c r="F12" s="8"/>
      <c r="G12" s="8">
        <v>911</v>
      </c>
      <c r="H12" s="9">
        <v>66996.899999999994</v>
      </c>
      <c r="I12" s="8">
        <v>13299.8</v>
      </c>
      <c r="J12" s="8">
        <v>26298.1</v>
      </c>
      <c r="K12" s="8">
        <v>2223.4</v>
      </c>
      <c r="L12" s="8">
        <v>233.4</v>
      </c>
      <c r="M12" s="20">
        <v>267264.8</v>
      </c>
      <c r="N12" s="17">
        <v>29373.4</v>
      </c>
      <c r="O12" s="18">
        <v>296638.2</v>
      </c>
    </row>
    <row r="13" spans="1:15" x14ac:dyDescent="0.2">
      <c r="B13" s="7"/>
      <c r="C13" s="16">
        <v>7</v>
      </c>
      <c r="D13" s="12">
        <v>176197.80000000002</v>
      </c>
      <c r="E13" s="15">
        <v>12195.9</v>
      </c>
      <c r="F13" s="8"/>
      <c r="G13" s="8">
        <v>34891.1</v>
      </c>
      <c r="H13" s="9">
        <v>47087</v>
      </c>
      <c r="I13" s="8">
        <v>10107.299999999999</v>
      </c>
      <c r="J13" s="8">
        <v>28256.5</v>
      </c>
      <c r="K13" s="8">
        <v>411.9</v>
      </c>
      <c r="L13" s="8">
        <v>353.9</v>
      </c>
      <c r="M13" s="20">
        <v>262414.40000000002</v>
      </c>
      <c r="N13" s="17">
        <v>36122.699999999997</v>
      </c>
      <c r="O13" s="18">
        <v>298537.10000000003</v>
      </c>
    </row>
    <row r="14" spans="1:15" x14ac:dyDescent="0.2">
      <c r="B14" s="7"/>
      <c r="C14" s="16">
        <v>8</v>
      </c>
      <c r="D14" s="12">
        <v>158354.4</v>
      </c>
      <c r="E14" s="15">
        <v>71504.899999999994</v>
      </c>
      <c r="F14" s="8"/>
      <c r="G14" s="8">
        <v>3912.9</v>
      </c>
      <c r="H14" s="9">
        <v>75417.799999999988</v>
      </c>
      <c r="I14" s="8">
        <v>12816.4</v>
      </c>
      <c r="J14" s="8">
        <v>27272</v>
      </c>
      <c r="K14" s="8">
        <v>2424.4</v>
      </c>
      <c r="L14" s="8">
        <v>223.4</v>
      </c>
      <c r="M14" s="20">
        <v>276508.39999999997</v>
      </c>
      <c r="N14" s="17">
        <v>34136.36</v>
      </c>
      <c r="O14" s="18">
        <v>310644.75999999995</v>
      </c>
    </row>
    <row r="15" spans="1:15" x14ac:dyDescent="0.2">
      <c r="B15" s="7"/>
      <c r="C15" s="16">
        <v>9</v>
      </c>
      <c r="D15" s="12">
        <v>180551.59999999998</v>
      </c>
      <c r="E15" s="15">
        <v>11379.5</v>
      </c>
      <c r="F15" s="8"/>
      <c r="G15" s="8">
        <v>3781.5</v>
      </c>
      <c r="H15" s="9">
        <v>15161</v>
      </c>
      <c r="I15" s="8">
        <v>82711.899999999994</v>
      </c>
      <c r="J15" s="8">
        <v>28482.9</v>
      </c>
      <c r="K15" s="8">
        <v>387.4</v>
      </c>
      <c r="L15" s="8">
        <v>261</v>
      </c>
      <c r="M15" s="20">
        <v>307555.8</v>
      </c>
      <c r="N15" s="17">
        <v>55913.1</v>
      </c>
      <c r="O15" s="18">
        <v>363468.89999999997</v>
      </c>
    </row>
    <row r="16" spans="1:15" x14ac:dyDescent="0.2">
      <c r="B16" s="7"/>
      <c r="C16" s="16">
        <v>10</v>
      </c>
      <c r="D16" s="12">
        <v>162971.59999999998</v>
      </c>
      <c r="E16" s="15">
        <v>68599.399999999994</v>
      </c>
      <c r="F16" s="8"/>
      <c r="G16" s="8">
        <v>2678.3</v>
      </c>
      <c r="H16" s="9">
        <v>71277.7</v>
      </c>
      <c r="I16" s="8">
        <v>15669.5</v>
      </c>
      <c r="J16" s="8">
        <v>28888.9</v>
      </c>
      <c r="K16" s="8">
        <v>2319</v>
      </c>
      <c r="L16" s="8">
        <v>269.39999999999998</v>
      </c>
      <c r="M16" s="20">
        <v>281396.09999999998</v>
      </c>
      <c r="N16" s="17">
        <v>47960.5</v>
      </c>
      <c r="O16" s="18">
        <v>329356.59999999998</v>
      </c>
    </row>
    <row r="17" spans="2:15" x14ac:dyDescent="0.2">
      <c r="B17" s="7"/>
      <c r="C17" s="16">
        <v>11</v>
      </c>
      <c r="D17" s="12">
        <v>179297.5</v>
      </c>
      <c r="E17" s="15">
        <v>16950.5</v>
      </c>
      <c r="F17" s="8"/>
      <c r="G17" s="8">
        <v>34193.4</v>
      </c>
      <c r="H17" s="9">
        <v>51143.9</v>
      </c>
      <c r="I17" s="8">
        <v>10918</v>
      </c>
      <c r="J17" s="8">
        <v>24951.1</v>
      </c>
      <c r="K17" s="8">
        <v>584.4</v>
      </c>
      <c r="L17" s="8">
        <v>268.2</v>
      </c>
      <c r="M17" s="20">
        <v>267163.09999999998</v>
      </c>
      <c r="N17" s="17">
        <v>44698.8</v>
      </c>
      <c r="O17" s="18">
        <v>311861.89999999997</v>
      </c>
    </row>
    <row r="18" spans="2:15" ht="13.5" thickBot="1" x14ac:dyDescent="0.25">
      <c r="B18" s="7"/>
      <c r="C18" s="16">
        <v>12</v>
      </c>
      <c r="D18" s="12">
        <v>147785</v>
      </c>
      <c r="E18" s="15">
        <v>69215.199999999997</v>
      </c>
      <c r="F18" s="8"/>
      <c r="G18" s="8">
        <v>3485.4</v>
      </c>
      <c r="H18" s="9">
        <v>72700.599999999991</v>
      </c>
      <c r="I18" s="8">
        <v>9086.2999999999993</v>
      </c>
      <c r="J18" s="8">
        <v>26105.4</v>
      </c>
      <c r="K18" s="8">
        <v>2330.5</v>
      </c>
      <c r="L18" s="8">
        <v>267.39999999999998</v>
      </c>
      <c r="M18" s="20">
        <v>258275.20000000001</v>
      </c>
      <c r="N18" s="17">
        <v>34874.300000000003</v>
      </c>
      <c r="O18" s="18">
        <v>293149.5</v>
      </c>
    </row>
    <row r="19" spans="2:15" ht="13.5" thickBot="1" x14ac:dyDescent="0.25">
      <c r="B19" s="217" t="s">
        <v>18</v>
      </c>
      <c r="C19" s="218"/>
      <c r="D19" s="152">
        <v>2036198.25</v>
      </c>
      <c r="E19" s="152">
        <v>509585.2</v>
      </c>
      <c r="F19" s="152">
        <v>0</v>
      </c>
      <c r="G19" s="152">
        <v>126756.29999999999</v>
      </c>
      <c r="H19" s="152">
        <v>636341.5</v>
      </c>
      <c r="I19" s="152">
        <v>401313.09999999992</v>
      </c>
      <c r="J19" s="152">
        <v>315435.95</v>
      </c>
      <c r="K19" s="152">
        <v>18001.199999999997</v>
      </c>
      <c r="L19" s="152">
        <v>3365.9100000000003</v>
      </c>
      <c r="M19" s="152">
        <v>3410655.91</v>
      </c>
      <c r="N19" s="152">
        <v>427448.25999999995</v>
      </c>
      <c r="O19" s="152">
        <v>3838104.1699999995</v>
      </c>
    </row>
    <row r="20" spans="2:15" x14ac:dyDescent="0.2">
      <c r="B20" s="21" t="s">
        <v>19</v>
      </c>
    </row>
    <row r="21" spans="2:15" x14ac:dyDescent="0.2">
      <c r="C21" s="26"/>
    </row>
    <row r="22" spans="2:15" x14ac:dyDescent="0.2">
      <c r="C22" s="26"/>
    </row>
    <row r="23" spans="2:15" x14ac:dyDescent="0.2">
      <c r="C23" s="26"/>
    </row>
    <row r="24" spans="2:15" x14ac:dyDescent="0.2">
      <c r="C24" s="26"/>
    </row>
    <row r="25" spans="2:15" x14ac:dyDescent="0.2">
      <c r="C25" s="26"/>
    </row>
    <row r="26" spans="2:15" x14ac:dyDescent="0.2">
      <c r="C26" s="26"/>
    </row>
    <row r="27" spans="2:15" x14ac:dyDescent="0.2">
      <c r="C27" s="26"/>
    </row>
    <row r="28" spans="2:15" x14ac:dyDescent="0.2">
      <c r="C28" s="26"/>
    </row>
    <row r="29" spans="2:15" x14ac:dyDescent="0.2">
      <c r="C29" s="26"/>
    </row>
    <row r="30" spans="2:15" x14ac:dyDescent="0.2">
      <c r="C30" s="26"/>
    </row>
    <row r="31" spans="2:15" x14ac:dyDescent="0.2">
      <c r="C31" s="26"/>
    </row>
    <row r="32" spans="2:15" x14ac:dyDescent="0.2">
      <c r="C32" s="26"/>
    </row>
  </sheetData>
  <mergeCells count="9">
    <mergeCell ref="M5:M6"/>
    <mergeCell ref="N5:N6"/>
    <mergeCell ref="O5:O6"/>
    <mergeCell ref="B19:C19"/>
    <mergeCell ref="I5:I6"/>
    <mergeCell ref="J5:J6"/>
    <mergeCell ref="K5:K6"/>
    <mergeCell ref="L5:L6"/>
    <mergeCell ref="D5:D6"/>
  </mergeCells>
  <phoneticPr fontId="0" type="noConversion"/>
  <conditionalFormatting sqref="D7:O19 B19:C19">
    <cfRule type="cellIs" dxfId="8" priority="1" stopIfTrue="1" operator="equal">
      <formula>0</formula>
    </cfRule>
  </conditionalFormatting>
  <pageMargins left="0.75" right="0.75" top="1" bottom="1" header="0" footer="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38"/>
  <sheetViews>
    <sheetView workbookViewId="0">
      <selection activeCell="O5" sqref="O5:O19"/>
    </sheetView>
  </sheetViews>
  <sheetFormatPr baseColWidth="10" defaultRowHeight="12.75" x14ac:dyDescent="0.2"/>
  <cols>
    <col min="1" max="1" width="6.140625" customWidth="1"/>
    <col min="4" max="4" width="14.42578125" customWidth="1"/>
    <col min="15" max="15" width="14.85546875" customWidth="1"/>
  </cols>
  <sheetData>
    <row r="3" spans="1:15" ht="13.5" customHeight="1" x14ac:dyDescent="0.2">
      <c r="A3" t="s">
        <v>0</v>
      </c>
      <c r="B3" s="1" t="s">
        <v>15</v>
      </c>
      <c r="C3" s="1"/>
      <c r="D3" s="11"/>
      <c r="E3" s="2"/>
      <c r="F3" s="2"/>
      <c r="G3" s="2"/>
      <c r="H3" s="2"/>
      <c r="I3" s="2"/>
      <c r="J3" s="2"/>
      <c r="K3" s="2"/>
      <c r="L3" s="2"/>
      <c r="M3" s="2"/>
      <c r="N3" s="10"/>
      <c r="O3" s="3"/>
    </row>
    <row r="4" spans="1:15" ht="13.5" customHeight="1" thickBot="1" x14ac:dyDescent="0.25">
      <c r="B4" s="4" t="s">
        <v>31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6"/>
    </row>
    <row r="5" spans="1:15" s="100" customFormat="1" ht="12.75" customHeight="1" x14ac:dyDescent="0.2">
      <c r="B5" s="137" t="s">
        <v>13</v>
      </c>
      <c r="C5" s="138"/>
      <c r="D5" s="236" t="s">
        <v>1</v>
      </c>
      <c r="E5" s="139" t="s">
        <v>3</v>
      </c>
      <c r="F5" s="139"/>
      <c r="G5" s="139"/>
      <c r="H5" s="139"/>
      <c r="I5" s="271" t="s">
        <v>4</v>
      </c>
      <c r="J5" s="271" t="s">
        <v>5</v>
      </c>
      <c r="K5" s="273" t="s">
        <v>6</v>
      </c>
      <c r="L5" s="271" t="s">
        <v>16</v>
      </c>
      <c r="M5" s="275" t="s">
        <v>7</v>
      </c>
      <c r="N5" s="277" t="s">
        <v>8</v>
      </c>
      <c r="O5" s="269" t="s">
        <v>20</v>
      </c>
    </row>
    <row r="6" spans="1:15" s="100" customFormat="1" ht="43.5" customHeight="1" thickBot="1" x14ac:dyDescent="0.25">
      <c r="B6" s="140" t="s">
        <v>14</v>
      </c>
      <c r="C6" s="141" t="s">
        <v>12</v>
      </c>
      <c r="D6" s="237"/>
      <c r="E6" s="142" t="s">
        <v>9</v>
      </c>
      <c r="F6" s="142" t="s">
        <v>10</v>
      </c>
      <c r="G6" s="142" t="s">
        <v>11</v>
      </c>
      <c r="H6" s="142" t="s">
        <v>2</v>
      </c>
      <c r="I6" s="272"/>
      <c r="J6" s="272"/>
      <c r="K6" s="274"/>
      <c r="L6" s="272"/>
      <c r="M6" s="276"/>
      <c r="N6" s="278"/>
      <c r="O6" s="270"/>
    </row>
    <row r="7" spans="1:15" x14ac:dyDescent="0.2">
      <c r="B7" s="25">
        <v>1999</v>
      </c>
      <c r="C7" s="16">
        <v>1</v>
      </c>
      <c r="D7" s="27">
        <v>217670.39999999999</v>
      </c>
      <c r="E7" s="27">
        <v>18172.400000000001</v>
      </c>
      <c r="F7" s="27"/>
      <c r="G7" s="27">
        <v>1710.2</v>
      </c>
      <c r="H7" s="27">
        <v>19882.599999999999</v>
      </c>
      <c r="I7" s="27">
        <v>108555.4</v>
      </c>
      <c r="J7" s="27">
        <v>39160.199999999997</v>
      </c>
      <c r="K7" s="27">
        <v>627.9</v>
      </c>
      <c r="L7" s="27">
        <v>293.89999999999998</v>
      </c>
      <c r="M7" s="27">
        <v>386190.4</v>
      </c>
      <c r="N7" s="27">
        <v>35699.11</v>
      </c>
      <c r="O7" s="27">
        <v>421889.51</v>
      </c>
    </row>
    <row r="8" spans="1:15" x14ac:dyDescent="0.2">
      <c r="B8" s="7"/>
      <c r="C8" s="16">
        <v>2</v>
      </c>
      <c r="D8" s="27">
        <v>150010.6</v>
      </c>
      <c r="E8" s="27">
        <v>10752</v>
      </c>
      <c r="F8" s="27"/>
      <c r="G8" s="27">
        <v>974</v>
      </c>
      <c r="H8" s="27">
        <v>11726</v>
      </c>
      <c r="I8" s="27">
        <v>24384</v>
      </c>
      <c r="J8" s="27">
        <v>23272</v>
      </c>
      <c r="K8" s="27">
        <v>373</v>
      </c>
      <c r="L8" s="27">
        <v>290</v>
      </c>
      <c r="M8" s="27">
        <v>210055.6</v>
      </c>
      <c r="N8" s="27">
        <v>30575.084999999999</v>
      </c>
      <c r="O8" s="27">
        <v>240630.685</v>
      </c>
    </row>
    <row r="9" spans="1:15" x14ac:dyDescent="0.2">
      <c r="B9" s="7"/>
      <c r="C9" s="16">
        <v>3</v>
      </c>
      <c r="D9" s="27">
        <v>178910.9</v>
      </c>
      <c r="E9" s="27">
        <v>98510.8</v>
      </c>
      <c r="F9" s="27"/>
      <c r="G9" s="27">
        <v>36154.300000000003</v>
      </c>
      <c r="H9" s="27">
        <v>134665.1</v>
      </c>
      <c r="I9" s="27">
        <v>9947.4</v>
      </c>
      <c r="J9" s="27">
        <v>31783.3</v>
      </c>
      <c r="K9" s="27">
        <v>3484.2</v>
      </c>
      <c r="L9" s="27">
        <v>328.6</v>
      </c>
      <c r="M9" s="27">
        <v>359119.5</v>
      </c>
      <c r="N9" s="27">
        <v>40403.42</v>
      </c>
      <c r="O9" s="27">
        <v>399522.92</v>
      </c>
    </row>
    <row r="10" spans="1:15" x14ac:dyDescent="0.2">
      <c r="B10" s="7"/>
      <c r="C10" s="16">
        <v>4</v>
      </c>
      <c r="D10" s="27">
        <v>162563.6</v>
      </c>
      <c r="E10" s="27">
        <v>7155.9</v>
      </c>
      <c r="F10" s="27"/>
      <c r="G10" s="27">
        <v>2269.5</v>
      </c>
      <c r="H10" s="27">
        <v>9425.4</v>
      </c>
      <c r="I10" s="27">
        <v>13719.4</v>
      </c>
      <c r="J10" s="27">
        <v>31851.5</v>
      </c>
      <c r="K10" s="27">
        <v>392</v>
      </c>
      <c r="L10" s="27">
        <v>316.2</v>
      </c>
      <c r="M10" s="27">
        <v>218268.1</v>
      </c>
      <c r="N10" s="27">
        <v>41240.78</v>
      </c>
      <c r="O10" s="27">
        <v>259508.88</v>
      </c>
    </row>
    <row r="11" spans="1:15" x14ac:dyDescent="0.2">
      <c r="B11" s="7"/>
      <c r="C11" s="16">
        <v>5</v>
      </c>
      <c r="D11" s="27">
        <v>187147.64</v>
      </c>
      <c r="E11" s="27">
        <v>5911.4</v>
      </c>
      <c r="F11" s="27"/>
      <c r="G11" s="27">
        <v>1639.3</v>
      </c>
      <c r="H11" s="27">
        <v>7550.7</v>
      </c>
      <c r="I11" s="27">
        <v>93021.3</v>
      </c>
      <c r="J11" s="27">
        <v>34402.1</v>
      </c>
      <c r="K11" s="27">
        <v>383.5</v>
      </c>
      <c r="L11" s="27">
        <v>314.5</v>
      </c>
      <c r="M11" s="27">
        <v>322819.74</v>
      </c>
      <c r="N11" s="27">
        <v>47115.95</v>
      </c>
      <c r="O11" s="27">
        <v>369935.69</v>
      </c>
    </row>
    <row r="12" spans="1:15" x14ac:dyDescent="0.2">
      <c r="B12" s="7"/>
      <c r="C12" s="16">
        <v>6</v>
      </c>
      <c r="D12" s="27">
        <v>152889.48000000001</v>
      </c>
      <c r="E12" s="27">
        <v>83661.100000000006</v>
      </c>
      <c r="F12" s="27"/>
      <c r="G12" s="27">
        <v>1298.5</v>
      </c>
      <c r="H12" s="27">
        <v>84959.6</v>
      </c>
      <c r="I12" s="27">
        <v>17039</v>
      </c>
      <c r="J12" s="27">
        <v>31975.35</v>
      </c>
      <c r="K12" s="27">
        <v>3065.2</v>
      </c>
      <c r="L12" s="27">
        <v>286.39999999999998</v>
      </c>
      <c r="M12" s="27">
        <v>290215.03000000003</v>
      </c>
      <c r="N12" s="27">
        <v>90702.53</v>
      </c>
      <c r="O12" s="27">
        <v>380917.56</v>
      </c>
    </row>
    <row r="13" spans="1:15" x14ac:dyDescent="0.2">
      <c r="B13" s="7"/>
      <c r="C13" s="16">
        <v>7</v>
      </c>
      <c r="D13" s="27">
        <v>184030.4</v>
      </c>
      <c r="E13" s="27">
        <v>18326</v>
      </c>
      <c r="F13" s="27"/>
      <c r="G13" s="27">
        <v>36700.300000000003</v>
      </c>
      <c r="H13" s="27">
        <v>55026.3</v>
      </c>
      <c r="I13" s="27">
        <v>12186.3</v>
      </c>
      <c r="J13" s="27">
        <v>34898.5</v>
      </c>
      <c r="K13" s="27">
        <v>639.29999999999995</v>
      </c>
      <c r="L13" s="27">
        <v>308.60000000000002</v>
      </c>
      <c r="M13" s="27">
        <v>287089.40000000002</v>
      </c>
      <c r="N13" s="27">
        <v>53780.24</v>
      </c>
      <c r="O13" s="27">
        <v>340869.64</v>
      </c>
    </row>
    <row r="14" spans="1:15" x14ac:dyDescent="0.2">
      <c r="B14" s="7"/>
      <c r="C14" s="16">
        <v>8</v>
      </c>
      <c r="D14" s="27">
        <v>161630.9</v>
      </c>
      <c r="E14" s="27">
        <v>85626.6</v>
      </c>
      <c r="F14" s="27"/>
      <c r="G14" s="27">
        <v>2461.1</v>
      </c>
      <c r="H14" s="27">
        <v>88087.7</v>
      </c>
      <c r="I14" s="27">
        <v>9425.2999999999993</v>
      </c>
      <c r="J14" s="27">
        <v>32785.4</v>
      </c>
      <c r="K14" s="27">
        <v>3131.8</v>
      </c>
      <c r="L14" s="27">
        <v>268.8</v>
      </c>
      <c r="M14" s="27">
        <v>295329.90000000002</v>
      </c>
      <c r="N14" s="27">
        <v>62288.385999999991</v>
      </c>
      <c r="O14" s="27">
        <v>357618.28600000002</v>
      </c>
    </row>
    <row r="15" spans="1:15" x14ac:dyDescent="0.2">
      <c r="B15" s="7"/>
      <c r="C15" s="16">
        <v>9</v>
      </c>
      <c r="D15" s="27">
        <v>182034.6</v>
      </c>
      <c r="E15" s="27">
        <v>6506.2</v>
      </c>
      <c r="F15" s="27"/>
      <c r="G15" s="27">
        <v>1748.8</v>
      </c>
      <c r="H15" s="27">
        <v>8255</v>
      </c>
      <c r="I15" s="27">
        <v>97009</v>
      </c>
      <c r="J15" s="27">
        <v>35097.199999999997</v>
      </c>
      <c r="K15" s="27">
        <v>463.3</v>
      </c>
      <c r="L15" s="27">
        <v>279.60000000000002</v>
      </c>
      <c r="M15" s="27">
        <v>323138.7</v>
      </c>
      <c r="N15" s="27">
        <v>68229.8</v>
      </c>
      <c r="O15" s="27">
        <v>391368.5</v>
      </c>
    </row>
    <row r="16" spans="1:15" x14ac:dyDescent="0.2">
      <c r="B16" s="7"/>
      <c r="C16" s="16">
        <v>10</v>
      </c>
      <c r="D16" s="27">
        <v>165031.4</v>
      </c>
      <c r="E16" s="27">
        <v>3636</v>
      </c>
      <c r="F16" s="27"/>
      <c r="G16" s="27">
        <v>1210</v>
      </c>
      <c r="H16" s="27">
        <v>4846</v>
      </c>
      <c r="I16" s="27">
        <v>15529</v>
      </c>
      <c r="J16" s="27">
        <v>29449</v>
      </c>
      <c r="K16" s="27">
        <v>306.5</v>
      </c>
      <c r="L16" s="27">
        <v>276</v>
      </c>
      <c r="M16" s="27">
        <v>215437.9</v>
      </c>
      <c r="N16" s="27">
        <v>61951.5</v>
      </c>
      <c r="O16" s="27">
        <v>277389.40000000002</v>
      </c>
    </row>
    <row r="17" spans="1:16" x14ac:dyDescent="0.2">
      <c r="B17" s="27"/>
      <c r="C17" s="16">
        <v>11</v>
      </c>
      <c r="D17" s="27">
        <v>185140.3</v>
      </c>
      <c r="E17" s="27">
        <v>7246.4</v>
      </c>
      <c r="F17" s="27"/>
      <c r="G17" s="27">
        <v>37192.199999999997</v>
      </c>
      <c r="H17" s="27">
        <v>44438.6</v>
      </c>
      <c r="I17" s="27">
        <v>9295.4</v>
      </c>
      <c r="J17" s="27">
        <v>29783.5</v>
      </c>
      <c r="K17" s="27">
        <v>501.5</v>
      </c>
      <c r="L17" s="27">
        <v>277.2</v>
      </c>
      <c r="M17" s="27">
        <v>269436.5</v>
      </c>
      <c r="N17" s="27">
        <v>59734.95</v>
      </c>
      <c r="O17" s="27">
        <v>329171.45</v>
      </c>
    </row>
    <row r="18" spans="1:16" ht="13.5" thickBot="1" x14ac:dyDescent="0.25">
      <c r="B18" s="7"/>
      <c r="C18" s="16">
        <v>12</v>
      </c>
      <c r="D18" s="27">
        <v>172384.55</v>
      </c>
      <c r="E18" s="27">
        <v>86015</v>
      </c>
      <c r="F18" s="27"/>
      <c r="G18" s="27">
        <v>2384.1</v>
      </c>
      <c r="H18" s="27">
        <v>88399.1</v>
      </c>
      <c r="I18" s="27">
        <v>14582</v>
      </c>
      <c r="J18" s="27">
        <v>32584</v>
      </c>
      <c r="K18" s="27">
        <v>3262</v>
      </c>
      <c r="L18" s="27">
        <v>267</v>
      </c>
      <c r="M18" s="27">
        <v>311478.65000000002</v>
      </c>
      <c r="N18" s="27">
        <v>48497.1</v>
      </c>
      <c r="O18" s="27">
        <v>359975.75</v>
      </c>
    </row>
    <row r="19" spans="1:16" ht="13.5" thickBot="1" x14ac:dyDescent="0.25">
      <c r="B19" s="217" t="s">
        <v>18</v>
      </c>
      <c r="C19" s="218"/>
      <c r="D19" s="153">
        <v>2099444.77</v>
      </c>
      <c r="E19" s="153">
        <v>431519.8</v>
      </c>
      <c r="F19" s="153"/>
      <c r="G19" s="153">
        <v>125742.3</v>
      </c>
      <c r="H19" s="153">
        <v>557262.1</v>
      </c>
      <c r="I19" s="153">
        <v>424693.5</v>
      </c>
      <c r="J19" s="153">
        <v>387042.05</v>
      </c>
      <c r="K19" s="153">
        <v>16630.2</v>
      </c>
      <c r="L19" s="153">
        <v>3506.8</v>
      </c>
      <c r="M19" s="153">
        <v>3488579.42</v>
      </c>
      <c r="N19" s="153">
        <v>640218.85099999991</v>
      </c>
      <c r="O19" s="153">
        <v>4128798.2710000002</v>
      </c>
    </row>
    <row r="20" spans="1:16" x14ac:dyDescent="0.2">
      <c r="B20" s="21" t="s">
        <v>19</v>
      </c>
    </row>
    <row r="22" spans="1:16" x14ac:dyDescent="0.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</row>
    <row r="23" spans="1:16" x14ac:dyDescent="0.2">
      <c r="A23" s="29"/>
      <c r="B23" s="29"/>
      <c r="C23" s="29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9"/>
    </row>
    <row r="24" spans="1:16" x14ac:dyDescent="0.2">
      <c r="A24" s="29"/>
      <c r="B24" s="29"/>
      <c r="C24" s="29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9"/>
    </row>
    <row r="25" spans="1:16" x14ac:dyDescent="0.2">
      <c r="A25" s="29"/>
      <c r="B25" s="29"/>
      <c r="C25" s="29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9"/>
    </row>
    <row r="26" spans="1:16" x14ac:dyDescent="0.2">
      <c r="A26" s="29"/>
      <c r="B26" s="29"/>
      <c r="C26" s="29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9"/>
    </row>
    <row r="27" spans="1:16" x14ac:dyDescent="0.2">
      <c r="A27" s="29"/>
      <c r="B27" s="29"/>
      <c r="C27" s="29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9"/>
    </row>
    <row r="28" spans="1:16" x14ac:dyDescent="0.2">
      <c r="A28" s="29"/>
      <c r="B28" s="29"/>
      <c r="C28" s="29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9"/>
    </row>
    <row r="29" spans="1:16" x14ac:dyDescent="0.2">
      <c r="A29" s="29"/>
      <c r="B29" s="29"/>
      <c r="C29" s="29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9"/>
    </row>
    <row r="30" spans="1:16" x14ac:dyDescent="0.2">
      <c r="A30" s="29"/>
      <c r="B30" s="29"/>
      <c r="C30" s="29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9"/>
    </row>
    <row r="31" spans="1:16" x14ac:dyDescent="0.2">
      <c r="A31" s="29"/>
      <c r="B31" s="29"/>
      <c r="C31" s="29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9"/>
    </row>
    <row r="32" spans="1:16" x14ac:dyDescent="0.2">
      <c r="A32" s="29"/>
      <c r="B32" s="29"/>
      <c r="C32" s="29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9"/>
    </row>
    <row r="33" spans="1:16" x14ac:dyDescent="0.2">
      <c r="A33" s="29"/>
      <c r="B33" s="29"/>
      <c r="C33" s="29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9"/>
    </row>
    <row r="34" spans="1:16" x14ac:dyDescent="0.2">
      <c r="A34" s="29"/>
      <c r="B34" s="29"/>
      <c r="C34" s="29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9"/>
    </row>
    <row r="35" spans="1:16" x14ac:dyDescent="0.2">
      <c r="A35" s="30"/>
      <c r="B35" s="30"/>
      <c r="C35" s="29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29"/>
    </row>
    <row r="36" spans="1:16" x14ac:dyDescent="0.2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</row>
    <row r="37" spans="1:16" x14ac:dyDescent="0.2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</row>
    <row r="38" spans="1:16" x14ac:dyDescent="0.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</row>
  </sheetData>
  <mergeCells count="9">
    <mergeCell ref="M5:M6"/>
    <mergeCell ref="N5:N6"/>
    <mergeCell ref="O5:O6"/>
    <mergeCell ref="B19:C19"/>
    <mergeCell ref="I5:I6"/>
    <mergeCell ref="J5:J6"/>
    <mergeCell ref="K5:K6"/>
    <mergeCell ref="L5:L6"/>
    <mergeCell ref="D5:D6"/>
  </mergeCells>
  <phoneticPr fontId="0" type="noConversion"/>
  <conditionalFormatting sqref="A35 B19">
    <cfRule type="cellIs" dxfId="7" priority="1" stopIfTrue="1" operator="equal">
      <formula>0</formula>
    </cfRule>
  </conditionalFormatting>
  <pageMargins left="0.75" right="0.75" top="1" bottom="1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27</vt:i4>
      </vt:variant>
    </vt:vector>
  </HeadingPairs>
  <TitlesOfParts>
    <vt:vector size="27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jremis</dc:creator>
  <cp:lastModifiedBy>Joaquin Remis</cp:lastModifiedBy>
  <cp:lastPrinted>2010-01-05T19:08:27Z</cp:lastPrinted>
  <dcterms:created xsi:type="dcterms:W3CDTF">2009-10-01T13:08:51Z</dcterms:created>
  <dcterms:modified xsi:type="dcterms:W3CDTF">2026-01-05T18:09:36Z</dcterms:modified>
</cp:coreProperties>
</file>