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codeName="ThisWorkbook" defaultThemeVersion="124226"/>
  <mc:AlternateContent xmlns:mc="http://schemas.openxmlformats.org/markup-compatibility/2006">
    <mc:Choice Requires="x15">
      <x15ac:absPath xmlns:x15ac="http://schemas.microsoft.com/office/spreadsheetml/2010/11/ac" url="F:\DNCFP\Recursos\internet\Publicaciones\NUEVA WEB DNAP\TOP-Información Mensual\2025\"/>
    </mc:Choice>
  </mc:AlternateContent>
  <xr:revisionPtr revIDLastSave="0" documentId="13_ncr:1_{877370F2-CB22-4E1A-81ED-A0A7DAA5D7FF}" xr6:coauthVersionLast="47" xr6:coauthVersionMax="47" xr10:uidLastSave="{00000000-0000-0000-0000-000000000000}"/>
  <bookViews>
    <workbookView xWindow="-120" yWindow="-120" windowWidth="29040" windowHeight="15840" tabRatio="591" xr2:uid="{00000000-000D-0000-FFFF-FFFF00000000}"/>
  </bookViews>
  <sheets>
    <sheet name="IIBB" sheetId="1" r:id="rId1"/>
    <sheet name="INMOBILIARIO" sheetId="2" r:id="rId2"/>
    <sheet name="SELLOS" sheetId="3" r:id="rId3"/>
    <sheet name="AUTOMOTORES" sheetId="4" r:id="rId4"/>
    <sheet name="OTROS" sheetId="5" r:id="rId5"/>
    <sheet name="TOTAL" sheetId="6" r:id="rId6"/>
    <sheet name="Fuente-Metodología" sheetId="10" r:id="rId7"/>
    <sheet name="Potestades Tributarias" sheetId="9" r:id="rId8"/>
  </sheets>
  <externalReferences>
    <externalReference r:id="rId9"/>
    <externalReference r:id="rId10"/>
  </externalReferences>
  <definedNames>
    <definedName name="\a" localSheetId="6">#REF!</definedName>
    <definedName name="\a" localSheetId="7">#REF!</definedName>
    <definedName name="\a">#REF!</definedName>
    <definedName name="\b" localSheetId="6">#REF!</definedName>
    <definedName name="\b" localSheetId="7">#REF!</definedName>
    <definedName name="\b">#REF!</definedName>
    <definedName name="\c" localSheetId="6">#REF!</definedName>
    <definedName name="\c" localSheetId="7">#REF!</definedName>
    <definedName name="\c">#REF!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_IMPUESTOS_SOBRE_COMBUSTIBLES_Y_GAS_NATURAL">[1]C!$B$27:$N$27</definedName>
    <definedName name="_._IMPUESTOS_SOBRE_ENERGIA_ELECTRICA">[1]C!$B$28:$N$28</definedName>
    <definedName name="_ex2" localSheetId="6" hidden="1">{FALSE,FALSE,-1.25,-15.5,484.5,276.75,FALSE,FALSE,TRUE,TRUE,0,12,#N/A,46,#N/A,2.93460490463215,15.35,1,FALSE,FALSE,3,TRUE,1,FALSE,100,"Swvu.PLA1.","ACwvu.PLA1.",#N/A,FALSE,FALSE,0,0,0,0,2,"","",TRUE,TRUE,FALSE,FALSE,1,60,#N/A,#N/A,FALSE,FALSE,FALSE,FALSE,FALSE,FALSE,FALSE,9,65532,65532,FALSE,FALSE,TRUE,TRUE,TRUE}</definedName>
    <definedName name="_ex2" localSheetId="7" hidden="1">{FALSE,FALSE,-1.25,-15.5,484.5,276.75,FALSE,FALSE,TRUE,TRUE,0,12,#N/A,46,#N/A,2.93460490463215,15.35,1,FALSE,FALSE,3,TRUE,1,FALSE,100,"Swvu.PLA1.","ACwvu.PLA1.",#N/A,FALSE,FALSE,0,0,0,0,2,"","",TRUE,TRUE,FALSE,FALSE,1,60,#N/A,#N/A,FALSE,FALSE,FALSE,FALSE,FALSE,FALSE,FALSE,9,65532,65532,FALSE,FALSE,TRUE,TRUE,TRUE}</definedName>
    <definedName name="_ex2" hidden="1">{FALSE,FALSE,-1.25,-15.5,484.5,276.75,FALSE,FALSE,TRUE,TRUE,0,12,#N/A,46,#N/A,2.93460490463215,15.35,1,FALSE,FALSE,3,TRUE,1,FALSE,100,"Swvu.PLA1.","ACwvu.PLA1.",#N/A,FALSE,FALSE,0,0,0,0,2,"","",TRUE,TRUE,FALSE,FALSE,1,60,#N/A,#N/A,FALSE,FALSE,FALSE,FALSE,FALSE,FALSE,FALSE,9,65532,65532,FALSE,FALSE,TRUE,TRUE,TRUE}</definedName>
    <definedName name="_F">#REF!</definedName>
    <definedName name="_Fill" hidden="1">#REF!</definedName>
    <definedName name="_Key1" hidden="1">#REF!</definedName>
    <definedName name="_Order1" hidden="1">255</definedName>
    <definedName name="_Parse_In" hidden="1">#REF!</definedName>
    <definedName name="_Parse_Out" hidden="1">#REF!</definedName>
    <definedName name="_R">#REF!</definedName>
    <definedName name="_Sort" hidden="1">#REF!</definedName>
    <definedName name="A">#REF!</definedName>
    <definedName name="ACwvu.PLA1." hidden="1">'[1]COP FED'!#REF!</definedName>
    <definedName name="ACwvu.PLA2." hidden="1">'[1]COP FED'!$A$1:$N$49</definedName>
    <definedName name="_xlnm.Extract">#REF!</definedName>
    <definedName name="_xlnm.Print_Area" localSheetId="3">AUTOMOTORES!$B$2:$O$32</definedName>
    <definedName name="_xlnm.Print_Area" localSheetId="6">'Fuente-Metodología'!$B$1:$C$32</definedName>
    <definedName name="_xlnm.Print_Area" localSheetId="0">IIBB!$B$2:$O$35</definedName>
    <definedName name="_xlnm.Print_Area" localSheetId="1">INMOBILIARIO!$B$2:$O$32</definedName>
    <definedName name="_xlnm.Print_Area" localSheetId="4">OTROS!$B$2:$O$32</definedName>
    <definedName name="_xlnm.Print_Area" localSheetId="7">'Potestades Tributarias'!$A$8:$G$37</definedName>
    <definedName name="_xlnm.Print_Area" localSheetId="2">SELLOS!$B$2:$O$32</definedName>
    <definedName name="_xlnm.Print_Area" localSheetId="5">TOTAL!$B$2:$O$32</definedName>
    <definedName name="_xlnm.Print_Area">'[1]Fto. a partir del impuesto'!$D$7:$D$50</definedName>
    <definedName name="B">#REF!</definedName>
    <definedName name="Base_datos_IM">#REF!</definedName>
    <definedName name="_xlnm.Database">#REF!</definedName>
    <definedName name="BORRAR">#REF!</definedName>
    <definedName name="C_">#REF!</definedName>
    <definedName name="caja" localSheetId="3" hidden="1">{FALSE,FALSE,-1.25,-15.5,484.5,276.75,FALSE,FALSE,TRUE,TRUE,0,12,#N/A,46,#N/A,2.93460490463215,15.35,1,FALSE,FALSE,3,TRUE,1,FALSE,100,"Swvu.PLA1.","ACwvu.PLA1.",#N/A,FALSE,FALSE,0,0,0,0,2,"","",TRUE,TRUE,FALSE,FALSE,1,60,#N/A,#N/A,FALSE,FALSE,FALSE,FALSE,FALSE,FALSE,FALSE,9,65532,65532,FALSE,FALSE,TRUE,TRUE,TRUE}</definedName>
    <definedName name="caja" localSheetId="6" hidden="1">{FALSE,FALSE,-1.25,-15.5,484.5,276.75,FALSE,FALSE,TRUE,TRUE,0,12,#N/A,46,#N/A,2.93460490463215,15.35,1,FALSE,FALSE,3,TRUE,1,FALSE,100,"Swvu.PLA1.","ACwvu.PLA1.",#N/A,FALSE,FALSE,0,0,0,0,2,"","",TRUE,TRUE,FALSE,FALSE,1,60,#N/A,#N/A,FALSE,FALSE,FALSE,FALSE,FALSE,FALSE,FALSE,9,65532,65532,FALSE,FALSE,TRUE,TRUE,TRUE}</definedName>
    <definedName name="caja" localSheetId="0" hidden="1">{FALSE,FALSE,-1.25,-15.5,484.5,276.75,FALSE,FALSE,TRUE,TRUE,0,12,#N/A,46,#N/A,2.93460490463215,15.35,1,FALSE,FALSE,3,TRUE,1,FALSE,100,"Swvu.PLA1.","ACwvu.PLA1.",#N/A,FALSE,FALSE,0,0,0,0,2,"","",TRUE,TRUE,FALSE,FALSE,1,60,#N/A,#N/A,FALSE,FALSE,FALSE,FALSE,FALSE,FALSE,FALSE,9,65532,65532,FALSE,FALSE,TRUE,TRUE,TRUE}</definedName>
    <definedName name="caja" localSheetId="1" hidden="1">{FALSE,FALSE,-1.25,-15.5,484.5,276.75,FALSE,FALSE,TRUE,TRUE,0,12,#N/A,46,#N/A,2.93460490463215,15.35,1,FALSE,FALSE,3,TRUE,1,FALSE,100,"Swvu.PLA1.","ACwvu.PLA1.",#N/A,FALSE,FALSE,0,0,0,0,2,"","",TRUE,TRUE,FALSE,FALSE,1,60,#N/A,#N/A,FALSE,FALSE,FALSE,FALSE,FALSE,FALSE,FALSE,9,65532,65532,FALSE,FALSE,TRUE,TRUE,TRUE}</definedName>
    <definedName name="caja" localSheetId="4" hidden="1">{FALSE,FALSE,-1.25,-15.5,484.5,276.75,FALSE,FALSE,TRUE,TRUE,0,12,#N/A,46,#N/A,2.93460490463215,15.35,1,FALSE,FALSE,3,TRUE,1,FALSE,100,"Swvu.PLA1.","ACwvu.PLA1.",#N/A,FALSE,FALSE,0,0,0,0,2,"","",TRUE,TRUE,FALSE,FALSE,1,60,#N/A,#N/A,FALSE,FALSE,FALSE,FALSE,FALSE,FALSE,FALSE,9,65532,65532,FALSE,FALSE,TRUE,TRUE,TRUE}</definedName>
    <definedName name="caja" localSheetId="7" hidden="1">{FALSE,FALSE,-1.25,-15.5,484.5,276.75,FALSE,FALSE,TRUE,TRUE,0,12,#N/A,46,#N/A,2.93460490463215,15.35,1,FALSE,FALSE,3,TRUE,1,FALSE,100,"Swvu.PLA1.","ACwvu.PLA1.",#N/A,FALSE,FALSE,0,0,0,0,2,"","",TRUE,TRUE,FALSE,FALSE,1,60,#N/A,#N/A,FALSE,FALSE,FALSE,FALSE,FALSE,FALSE,FALSE,9,65532,65532,FALSE,FALSE,TRUE,TRUE,TRUE}</definedName>
    <definedName name="caja" localSheetId="2" hidden="1">{FALSE,FALSE,-1.25,-15.5,484.5,276.75,FALSE,FALSE,TRUE,TRUE,0,12,#N/A,46,#N/A,2.93460490463215,15.35,1,FALSE,FALSE,3,TRUE,1,FALSE,100,"Swvu.PLA1.","ACwvu.PLA1.",#N/A,FALSE,FALSE,0,0,0,0,2,"","",TRUE,TRUE,FALSE,FALSE,1,60,#N/A,#N/A,FALSE,FALSE,FALSE,FALSE,FALSE,FALSE,FALSE,9,65532,65532,FALSE,FALSE,TRUE,TRUE,TRUE}</definedName>
    <definedName name="caja" localSheetId="5"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2" localSheetId="6" hidden="1">{FALSE,FALSE,-1.25,-15.5,484.5,276.75,FALSE,FALSE,TRUE,TRUE,0,12,#N/A,46,#N/A,2.93460490463215,15.35,1,FALSE,FALSE,3,TRUE,1,FALSE,100,"Swvu.PLA1.","ACwvu.PLA1.",#N/A,FALSE,FALSE,0,0,0,0,2,"","",TRUE,TRUE,FALSE,FALSE,1,60,#N/A,#N/A,FALSE,FALSE,FALSE,FALSE,FALSE,FALSE,FALSE,9,65532,65532,FALSE,FALSE,TRUE,TRUE,TRUE}</definedName>
    <definedName name="caja2" localSheetId="7" hidden="1">{FALSE,FALSE,-1.25,-15.5,484.5,276.75,FALSE,FALSE,TRUE,TRUE,0,12,#N/A,46,#N/A,2.93460490463215,15.35,1,FALSE,FALSE,3,TRUE,1,FALSE,100,"Swvu.PLA1.","ACwvu.PLA1.",#N/A,FALSE,FALSE,0,0,0,0,2,"","",TRUE,TRUE,FALSE,FALSE,1,60,#N/A,#N/A,FALSE,FALSE,FALSE,FALSE,FALSE,FALSE,FALSE,9,65532,65532,FALSE,FALSE,TRUE,TRUE,TRUE}</definedName>
    <definedName name="caja2" hidden="1">{FALSE,FALSE,-1.25,-15.5,484.5,276.75,FALSE,FALSE,TRUE,TRUE,0,12,#N/A,46,#N/A,2.93460490463215,15.35,1,FALSE,FALSE,3,TRUE,1,FALSE,100,"Swvu.PLA1.","ACwvu.PLA1.",#N/A,FALSE,FALSE,0,0,0,0,2,"","",TRUE,TRUE,FALSE,FALSE,1,60,#N/A,#N/A,FALSE,FALSE,FALSE,FALSE,FALSE,FALSE,FALSE,9,65532,65532,FALSE,FALSE,TRUE,TRUE,TRUE}</definedName>
    <definedName name="cantidad_prestada">'[2]IPV-BAPRO'!#REF!</definedName>
    <definedName name="Comisiones">#REF!</definedName>
    <definedName name="COMPAR_07_08" localSheetId="3"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6"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0"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1"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4"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7"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2"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5" hidden="1">{FALSE,FALSE,-1.25,-15.5,484.5,276.75,FALSE,FALSE,TRUE,TRUE,0,12,#N/A,46,#N/A,2.93460490463215,15.35,1,FALSE,FALSE,3,TRUE,1,FALSE,100,"Swvu.PLA1.","ACwvu.PLA1.",#N/A,FALSE,FALSE,0,0,0,0,2,"","",TRUE,TRUE,FALSE,FALSE,1,60,#N/A,#N/A,FALSE,FALSE,FALSE,FALSE,FALSE,FALSE,FALSE,9,65532,65532,FALSE,FALSE,TRUE,TRUE,TRUE}</definedName>
    <definedName name="COMPAR_07_08" hidden="1">{FALSE,FALSE,-1.25,-15.5,484.5,276.75,FALSE,FALSE,TRUE,TRUE,0,12,#N/A,46,#N/A,2.93460490463215,15.35,1,FALSE,FALSE,3,TRUE,1,FALSE,100,"Swvu.PLA1.","ACwvu.PLA1.",#N/A,FALSE,FALSE,0,0,0,0,2,"","",TRUE,TRUE,FALSE,FALSE,1,60,#N/A,#N/A,FALSE,FALSE,FALSE,FALSE,FALSE,FALSE,FALSE,9,65532,65532,FALSE,FALSE,TRUE,TRUE,TRUE}</definedName>
    <definedName name="COPA">#N/A</definedName>
    <definedName name="COPARTICIPACION_FEDERAL__LEY_N__23548">[1]C!$B$13:$N$13</definedName>
    <definedName name="_xlnm.Criteria">#REF!</definedName>
    <definedName name="Criterios_IM">#REF!</definedName>
    <definedName name="d" localSheetId="3" hidden="1">{FALSE,FALSE,-1.25,-15.5,484.5,276.75,FALSE,FALSE,TRUE,TRUE,0,12,#N/A,46,#N/A,2.93460490463215,15.35,1,FALSE,FALSE,3,TRUE,1,FALSE,100,"Swvu.PLA1.","ACwvu.PLA1.",#N/A,FALSE,FALSE,0,0,0,0,2,"","",TRUE,TRUE,FALSE,FALSE,1,60,#N/A,#N/A,FALSE,FALSE,FALSE,FALSE,FALSE,FALSE,FALSE,9,65532,65532,FALSE,FALSE,TRUE,TRUE,TRUE}</definedName>
    <definedName name="d" localSheetId="6" hidden="1">{FALSE,FALSE,-1.25,-15.5,484.5,276.75,FALSE,FALSE,TRUE,TRUE,0,12,#N/A,46,#N/A,2.93460490463215,15.35,1,FALSE,FALSE,3,TRUE,1,FALSE,100,"Swvu.PLA1.","ACwvu.PLA1.",#N/A,FALSE,FALSE,0,0,0,0,2,"","",TRUE,TRUE,FALSE,FALSE,1,60,#N/A,#N/A,FALSE,FALSE,FALSE,FALSE,FALSE,FALSE,FALSE,9,65532,65532,FALSE,FALSE,TRUE,TRUE,TRUE}</definedName>
    <definedName name="d" localSheetId="0" hidden="1">{FALSE,FALSE,-1.25,-15.5,484.5,276.75,FALSE,FALSE,TRUE,TRUE,0,12,#N/A,46,#N/A,2.93460490463215,15.35,1,FALSE,FALSE,3,TRUE,1,FALSE,100,"Swvu.PLA1.","ACwvu.PLA1.",#N/A,FALSE,FALSE,0,0,0,0,2,"","",TRUE,TRUE,FALSE,FALSE,1,60,#N/A,#N/A,FALSE,FALSE,FALSE,FALSE,FALSE,FALSE,FALSE,9,65532,65532,FALSE,FALSE,TRUE,TRUE,TRUE}</definedName>
    <definedName name="d" localSheetId="1" hidden="1">{FALSE,FALSE,-1.25,-15.5,484.5,276.75,FALSE,FALSE,TRUE,TRUE,0,12,#N/A,46,#N/A,2.93460490463215,15.35,1,FALSE,FALSE,3,TRUE,1,FALSE,100,"Swvu.PLA1.","ACwvu.PLA1.",#N/A,FALSE,FALSE,0,0,0,0,2,"","",TRUE,TRUE,FALSE,FALSE,1,60,#N/A,#N/A,FALSE,FALSE,FALSE,FALSE,FALSE,FALSE,FALSE,9,65532,65532,FALSE,FALSE,TRUE,TRUE,TRUE}</definedName>
    <definedName name="d" localSheetId="4" hidden="1">{FALSE,FALSE,-1.25,-15.5,484.5,276.75,FALSE,FALSE,TRUE,TRUE,0,12,#N/A,46,#N/A,2.93460490463215,15.35,1,FALSE,FALSE,3,TRUE,1,FALSE,100,"Swvu.PLA1.","ACwvu.PLA1.",#N/A,FALSE,FALSE,0,0,0,0,2,"","",TRUE,TRUE,FALSE,FALSE,1,60,#N/A,#N/A,FALSE,FALSE,FALSE,FALSE,FALSE,FALSE,FALSE,9,65532,65532,FALSE,FALSE,TRUE,TRUE,TRUE}</definedName>
    <definedName name="d" localSheetId="7" hidden="1">{FALSE,FALSE,-1.25,-15.5,484.5,276.75,FALSE,FALSE,TRUE,TRUE,0,12,#N/A,46,#N/A,2.93460490463215,15.35,1,FALSE,FALSE,3,TRUE,1,FALSE,100,"Swvu.PLA1.","ACwvu.PLA1.",#N/A,FALSE,FALSE,0,0,0,0,2,"","",TRUE,TRUE,FALSE,FALSE,1,60,#N/A,#N/A,FALSE,FALSE,FALSE,FALSE,FALSE,FALSE,FALSE,9,65532,65532,FALSE,FALSE,TRUE,TRUE,TRUE}</definedName>
    <definedName name="d" localSheetId="2" hidden="1">{FALSE,FALSE,-1.25,-15.5,484.5,276.75,FALSE,FALSE,TRUE,TRUE,0,12,#N/A,46,#N/A,2.93460490463215,15.35,1,FALSE,FALSE,3,TRUE,1,FALSE,100,"Swvu.PLA1.","ACwvu.PLA1.",#N/A,FALSE,FALSE,0,0,0,0,2,"","",TRUE,TRUE,FALSE,FALSE,1,60,#N/A,#N/A,FALSE,FALSE,FALSE,FALSE,FALSE,FALSE,FALSE,9,65532,65532,FALSE,FALSE,TRUE,TRUE,TRUE}</definedName>
    <definedName name="d" localSheetId="5" hidden="1">{FALSE,FALSE,-1.25,-15.5,484.5,276.75,FALSE,FALSE,TRUE,TRUE,0,12,#N/A,46,#N/A,2.93460490463215,15.35,1,FALSE,FALSE,3,TRUE,1,FALSE,100,"Swvu.PLA1.","ACwvu.PLA1.",#N/A,FALSE,FALSE,0,0,0,0,2,"","",TRUE,TRUE,FALSE,FALSE,1,60,#N/A,#N/A,FALSE,FALSE,FALSE,FALSE,FALSE,FALSE,FALSE,9,65532,65532,FALSE,FALSE,TRUE,TRUE,TRUE}</definedName>
    <definedName name="d" hidden="1">{FALSE,FALSE,-1.25,-15.5,484.5,276.75,FALSE,FALSE,TRUE,TRUE,0,12,#N/A,46,#N/A,2.93460490463215,15.35,1,FALSE,FALSE,3,TRUE,1,FALSE,100,"Swvu.PLA1.","ACwvu.PLA1.",#N/A,FALSE,FALSE,0,0,0,0,2,"","",TRUE,TRUE,FALSE,FALSE,1,60,#N/A,#N/A,FALSE,FALSE,FALSE,FALSE,FALSE,FALSE,FALSE,9,65532,65532,FALSE,FALSE,TRUE,TRUE,TRUE}</definedName>
    <definedName name="E">#REF!</definedName>
    <definedName name="EXCEDENTE_DEL_10__SEGUN_EL_TOPE_ASIGNADO_A__BUENOS_AIRES__LEY_N__23621">[1]C!$B$18:$N$18</definedName>
    <definedName name="Extracción_IM">#REF!</definedName>
    <definedName name="Fecha_primer_pago">'[2]IPV-BAPRO'!#REF!</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G">#REF!</definedName>
    <definedName name="H">#REF!</definedName>
    <definedName name="I">#REF!</definedName>
    <definedName name="IMPRIMIR">#REF!</definedName>
    <definedName name="J">#REF!</definedName>
    <definedName name="K">#REF!</definedName>
    <definedName name="L_">#N/A</definedName>
    <definedName name="LL" localSheetId="3" hidden="1">{FALSE,FALSE,-1.25,-15.5,484.5,276.75,FALSE,FALSE,TRUE,TRUE,0,12,#N/A,46,#N/A,2.93460490463215,15.35,1,FALSE,FALSE,3,TRUE,1,FALSE,100,"Swvu.PLA1.","ACwvu.PLA1.",#N/A,FALSE,FALSE,0,0,0,0,2,"","",TRUE,TRUE,FALSE,FALSE,1,60,#N/A,#N/A,FALSE,FALSE,FALSE,FALSE,FALSE,FALSE,FALSE,9,65532,65532,FALSE,FALSE,TRUE,TRUE,TRUE}</definedName>
    <definedName name="LL" localSheetId="6" hidden="1">{FALSE,FALSE,-1.25,-15.5,484.5,276.75,FALSE,FALSE,TRUE,TRUE,0,12,#N/A,46,#N/A,2.93460490463215,15.35,1,FALSE,FALSE,3,TRUE,1,FALSE,100,"Swvu.PLA1.","ACwvu.PLA1.",#N/A,FALSE,FALSE,0,0,0,0,2,"","",TRUE,TRUE,FALSE,FALSE,1,60,#N/A,#N/A,FALSE,FALSE,FALSE,FALSE,FALSE,FALSE,FALSE,9,65532,65532,FALSE,FALSE,TRUE,TRUE,TRUE}</definedName>
    <definedName name="LL" localSheetId="0" hidden="1">{FALSE,FALSE,-1.25,-15.5,484.5,276.75,FALSE,FALSE,TRUE,TRUE,0,12,#N/A,46,#N/A,2.93460490463215,15.35,1,FALSE,FALSE,3,TRUE,1,FALSE,100,"Swvu.PLA1.","ACwvu.PLA1.",#N/A,FALSE,FALSE,0,0,0,0,2,"","",TRUE,TRUE,FALSE,FALSE,1,60,#N/A,#N/A,FALSE,FALSE,FALSE,FALSE,FALSE,FALSE,FALSE,9,65532,65532,FALSE,FALSE,TRUE,TRUE,TRUE}</definedName>
    <definedName name="LL" localSheetId="1" hidden="1">{FALSE,FALSE,-1.25,-15.5,484.5,276.75,FALSE,FALSE,TRUE,TRUE,0,12,#N/A,46,#N/A,2.93460490463215,15.35,1,FALSE,FALSE,3,TRUE,1,FALSE,100,"Swvu.PLA1.","ACwvu.PLA1.",#N/A,FALSE,FALSE,0,0,0,0,2,"","",TRUE,TRUE,FALSE,FALSE,1,60,#N/A,#N/A,FALSE,FALSE,FALSE,FALSE,FALSE,FALSE,FALSE,9,65532,65532,FALSE,FALSE,TRUE,TRUE,TRUE}</definedName>
    <definedName name="LL" localSheetId="4" hidden="1">{FALSE,FALSE,-1.25,-15.5,484.5,276.75,FALSE,FALSE,TRUE,TRUE,0,12,#N/A,46,#N/A,2.93460490463215,15.35,1,FALSE,FALSE,3,TRUE,1,FALSE,100,"Swvu.PLA1.","ACwvu.PLA1.",#N/A,FALSE,FALSE,0,0,0,0,2,"","",TRUE,TRUE,FALSE,FALSE,1,60,#N/A,#N/A,FALSE,FALSE,FALSE,FALSE,FALSE,FALSE,FALSE,9,65532,65532,FALSE,FALSE,TRUE,TRUE,TRUE}</definedName>
    <definedName name="LL" localSheetId="7" hidden="1">{FALSE,FALSE,-1.25,-15.5,484.5,276.75,FALSE,FALSE,TRUE,TRUE,0,12,#N/A,46,#N/A,2.93460490463215,15.35,1,FALSE,FALSE,3,TRUE,1,FALSE,100,"Swvu.PLA1.","ACwvu.PLA1.",#N/A,FALSE,FALSE,0,0,0,0,2,"","",TRUE,TRUE,FALSE,FALSE,1,60,#N/A,#N/A,FALSE,FALSE,FALSE,FALSE,FALSE,FALSE,FALSE,9,65532,65532,FALSE,FALSE,TRUE,TRUE,TRUE}</definedName>
    <definedName name="LL" localSheetId="2" hidden="1">{FALSE,FALSE,-1.25,-15.5,484.5,276.75,FALSE,FALSE,TRUE,TRUE,0,12,#N/A,46,#N/A,2.93460490463215,15.35,1,FALSE,FALSE,3,TRUE,1,FALSE,100,"Swvu.PLA1.","ACwvu.PLA1.",#N/A,FALSE,FALSE,0,0,0,0,2,"","",TRUE,TRUE,FALSE,FALSE,1,60,#N/A,#N/A,FALSE,FALSE,FALSE,FALSE,FALSE,FALSE,FALSE,9,65532,65532,FALSE,FALSE,TRUE,TRUE,TRUE}</definedName>
    <definedName name="LL" localSheetId="5"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#REF!</definedName>
    <definedName name="N">#REF!</definedName>
    <definedName name="O">#N/A</definedName>
    <definedName name="OBRAS_DE_INFRAESTRUCTURA__LEY_N__23966_ART._19">[1]C!$B$23:$N$23</definedName>
    <definedName name="OBRAS_DE_INFRAESTRUCTURA_BASICA_SOCIAL_Y_NECESIDADES_BASICAS_INSATISFECHAS__LEY_N__23621">[1]C!$B$17:$N$17</definedName>
    <definedName name="ORGANISMOS_DE_VIALIDAD__LEY_N__23966_ART._19">[1]C!$B$24:$N$24</definedName>
    <definedName name="P">#REF!</definedName>
    <definedName name="pagos_por_año">'[2]IPV-BAPRO'!#REF!</definedName>
    <definedName name="Plazo_en_años">'[2]IPV-BAPRO'!#REF!</definedName>
    <definedName name="prueba">#REF!</definedName>
    <definedName name="Q">#REF!</definedName>
    <definedName name="Rwvu.PLA2." hidden="1">'[1]COP FED'!#REF!</definedName>
    <definedName name="S">#REF!</definedName>
    <definedName name="SEGURIDAD_SOCIAL___BS._PERS._NO_INCORP._AL_PROCESO_ECONOMICO__LEY_N__23966__ART._30">[1]C!$B$22:$N$22</definedName>
    <definedName name="SEGURIDAD_SOCIAL___IVA__LEY_N__23966_ART._5_PTO._2">[1]C!$B$21:$N$21</definedName>
    <definedName name="SUMA_FIJA_FINANCIADA_CON__LA_COPARTICIPACION_FEDERAL_DE_NACION__LEY_N__23621_ART._1">[1]C!$B$19:$N$19</definedName>
    <definedName name="Swvu.PLA1." hidden="1">'[1]COP FED'!#REF!</definedName>
    <definedName name="Swvu.PLA2." hidden="1">'[1]COP FED'!$A$1:$N$49</definedName>
    <definedName name="T">#REF!</definedName>
    <definedName name="tasa_interes_anual">'[2]IPV-BAPRO'!#REF!</definedName>
    <definedName name="_xlnm.Print_Titles">'[1]Fto. a partir del impuesto'!$A$1:$A$65536</definedName>
    <definedName name="TOTAL">[1]C!$B$32:$N$32</definedName>
    <definedName name="TRANSFERENCIA_DE_SERVICIOS__LEY_N__24049_Y_COMPLEMENTARIAS">[1]C!$B$14:$N$14</definedName>
    <definedName name="U">#REF!</definedName>
    <definedName name="V">#REF!</definedName>
    <definedName name="W">#REF!</definedName>
    <definedName name="wvu.PLA1." localSheetId="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6" hidden="1">{FALSE,FALSE,-1.25,-15.5,484.5,276.75,FALSE,FALSE,TRUE,TRUE,0,12,#N/A,46,#N/A,2.93460490463215,15.35,1,FALSE,FALSE,3,TRUE,1,FALSE,100,"Swvu.PLA1.","ACwvu.PLA1.",#N/A,FALSE,FALSE,0,0,0,0,2,"","",TRUE,TRUE,FALSE,FALSE,1,60,#N/A,#N/A,FALSE,FALSE,FALSE,FALSE,FALSE,FALSE,FALSE,9,65532,65532,FALSE,FALSE,TRUE,TRUE,TRUE}</definedName>
    <definedName name="wvu.PLA1." localSheetId="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 hidden="1">{FALSE,FALSE,-1.25,-15.5,484.5,276.75,FALSE,FALSE,TRUE,TRUE,0,12,#N/A,46,#N/A,2.93460490463215,15.35,1,FALSE,FALSE,3,TRUE,1,FALSE,100,"Swvu.PLA1.","ACwvu.PLA1.",#N/A,FALSE,FALSE,0,0,0,0,2,"","",TRUE,TRUE,FALSE,FALSE,1,60,#N/A,#N/A,FALSE,FALSE,FALSE,FALSE,FALSE,FALSE,FALSE,9,65532,65532,FALSE,FALSE,TRUE,TRUE,TRUE}</definedName>
    <definedName name="wvu.PLA1." localSheetId="4" hidden="1">{FALSE,FALSE,-1.25,-15.5,484.5,276.75,FALSE,FALSE,TRUE,TRUE,0,12,#N/A,46,#N/A,2.93460490463215,15.35,1,FALSE,FALSE,3,TRUE,1,FALSE,100,"Swvu.PLA1.","ACwvu.PLA1.",#N/A,FALSE,FALSE,0,0,0,0,2,"","",TRUE,TRUE,FALSE,FALSE,1,60,#N/A,#N/A,FALSE,FALSE,FALSE,FALSE,FALSE,FALSE,FALSE,9,65532,65532,FALSE,FALSE,TRUE,TRUE,TRUE}</definedName>
    <definedName name="wvu.PLA1." localSheetId="7"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 hidden="1">{FALSE,FALSE,-1.25,-15.5,484.5,276.75,FALSE,FALSE,TRUE,TRUE,0,12,#N/A,46,#N/A,2.93460490463215,15.35,1,FALSE,FALSE,3,TRUE,1,FALSE,100,"Swvu.PLA1.","ACwvu.PLA1.",#N/A,FALSE,FALSE,0,0,0,0,2,"","",TRUE,TRUE,FALSE,FALSE,1,60,#N/A,#N/A,FALSE,FALSE,FALSE,FALSE,FALSE,FALSE,FALSE,9,65532,65532,FALSE,FALSE,TRUE,TRUE,TRUE}</definedName>
    <definedName name="wvu.PLA1." localSheetId="5"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3" hidden="1">{TRUE,TRUE,-1.25,-15.5,484.5,276.75,FALSE,FALSE,TRUE,TRUE,0,15,#N/A,56,#N/A,4.88636363636364,15.35,1,FALSE,FALSE,3,TRUE,1,FALSE,100,"Swvu.PLA2.","ACwvu.PLA2.",#N/A,FALSE,FALSE,0,0,0,0,2,"","",TRUE,TRUE,FALSE,FALSE,1,60,#N/A,#N/A,FALSE,FALSE,"Rwvu.PLA2.",#N/A,FALSE,FALSE,FALSE,9,65532,65532,FALSE,FALSE,TRUE,TRUE,TRUE}</definedName>
    <definedName name="wvu.PLA2." localSheetId="6" hidden="1">{TRUE,TRUE,-1.25,-15.5,484.5,276.75,FALSE,FALSE,TRUE,TRUE,0,15,#N/A,56,#N/A,4.88636363636364,15.35,1,FALSE,FALSE,3,TRUE,1,FALSE,100,"Swvu.PLA2.","ACwvu.PLA2.",#N/A,FALSE,FALSE,0,0,0,0,2,"","",TRUE,TRUE,FALSE,FALSE,1,60,#N/A,#N/A,FALSE,FALSE,"Rwvu.PLA2.",#N/A,FALSE,FALSE,FALSE,9,65532,65532,FALSE,FALSE,TRUE,TRUE,TRUE}</definedName>
    <definedName name="wvu.PLA2." localSheetId="0" hidden="1">{TRUE,TRUE,-1.25,-15.5,484.5,276.75,FALSE,FALSE,TRUE,TRUE,0,15,#N/A,56,#N/A,4.88636363636364,15.35,1,FALSE,FALSE,3,TRUE,1,FALSE,100,"Swvu.PLA2.","ACwvu.PLA2.",#N/A,FALSE,FALSE,0,0,0,0,2,"","",TRUE,TRUE,FALSE,FALSE,1,60,#N/A,#N/A,FALSE,FALSE,"Rwvu.PLA2.",#N/A,FALSE,FALSE,FALSE,9,65532,65532,FALSE,FALSE,TRUE,TRUE,TRUE}</definedName>
    <definedName name="wvu.PLA2." localSheetId="1" hidden="1">{TRUE,TRUE,-1.25,-15.5,484.5,276.75,FALSE,FALSE,TRUE,TRUE,0,15,#N/A,56,#N/A,4.88636363636364,15.35,1,FALSE,FALSE,3,TRUE,1,FALSE,100,"Swvu.PLA2.","ACwvu.PLA2.",#N/A,FALSE,FALSE,0,0,0,0,2,"","",TRUE,TRUE,FALSE,FALSE,1,60,#N/A,#N/A,FALSE,FALSE,"Rwvu.PLA2.",#N/A,FALSE,FALSE,FALSE,9,65532,65532,FALSE,FALSE,TRUE,TRUE,TRUE}</definedName>
    <definedName name="wvu.PLA2." localSheetId="4" hidden="1">{TRUE,TRUE,-1.25,-15.5,484.5,276.75,FALSE,FALSE,TRUE,TRUE,0,15,#N/A,56,#N/A,4.88636363636364,15.35,1,FALSE,FALSE,3,TRUE,1,FALSE,100,"Swvu.PLA2.","ACwvu.PLA2.",#N/A,FALSE,FALSE,0,0,0,0,2,"","",TRUE,TRUE,FALSE,FALSE,1,60,#N/A,#N/A,FALSE,FALSE,"Rwvu.PLA2.",#N/A,FALSE,FALSE,FALSE,9,65532,65532,FALSE,FALSE,TRUE,TRUE,TRUE}</definedName>
    <definedName name="wvu.PLA2." localSheetId="7" hidden="1">{TRUE,TRUE,-1.25,-15.5,484.5,276.75,FALSE,FALSE,TRUE,TRUE,0,15,#N/A,56,#N/A,4.88636363636364,15.35,1,FALSE,FALSE,3,TRUE,1,FALSE,100,"Swvu.PLA2.","ACwvu.PLA2.",#N/A,FALSE,FALSE,0,0,0,0,2,"","",TRUE,TRUE,FALSE,FALSE,1,60,#N/A,#N/A,FALSE,FALSE,"Rwvu.PLA2.",#N/A,FALSE,FALSE,FALSE,9,65532,65532,FALSE,FALSE,TRUE,TRUE,TRUE}</definedName>
    <definedName name="wvu.PLA2." localSheetId="2" hidden="1">{TRUE,TRUE,-1.25,-15.5,484.5,276.75,FALSE,FALSE,TRUE,TRUE,0,15,#N/A,56,#N/A,4.88636363636364,15.35,1,FALSE,FALSE,3,TRUE,1,FALSE,100,"Swvu.PLA2.","ACwvu.PLA2.",#N/A,FALSE,FALSE,0,0,0,0,2,"","",TRUE,TRUE,FALSE,FALSE,1,60,#N/A,#N/A,FALSE,FALSE,"Rwvu.PLA2.",#N/A,FALSE,FALSE,FALSE,9,65532,65532,FALSE,FALSE,TRUE,TRUE,TRUE}</definedName>
    <definedName name="wvu.PLA2." localSheetId="5"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X">#REF!</definedName>
    <definedName name="Y">#REF!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 i="6" l="1"/>
  <c r="N1" i="5"/>
  <c r="N1" i="4"/>
  <c r="N1" i="3"/>
  <c r="N1" i="2"/>
  <c r="O1" i="2"/>
  <c r="O1" i="6" l="1"/>
  <c r="O1" i="5"/>
  <c r="O1" i="4"/>
  <c r="O1" i="3"/>
  <c r="B3" i="6"/>
  <c r="B3" i="5"/>
  <c r="B3" i="2"/>
  <c r="B3" i="3"/>
  <c r="B3" i="4"/>
  <c r="F12" i="6" l="1"/>
  <c r="C12" i="6"/>
  <c r="D12" i="6"/>
  <c r="H12" i="6"/>
  <c r="I12" i="6"/>
  <c r="K12" i="6"/>
  <c r="E12" i="6"/>
  <c r="L12" i="6"/>
  <c r="M12" i="6"/>
  <c r="G12" i="6"/>
  <c r="J12" i="6"/>
  <c r="N12" i="6"/>
  <c r="M21" i="6"/>
  <c r="L21" i="6" l="1"/>
  <c r="I21" i="6"/>
  <c r="H21" i="6"/>
  <c r="N21" i="6"/>
  <c r="J21" i="6"/>
  <c r="K21" i="6"/>
  <c r="E21" i="6"/>
  <c r="F21" i="6"/>
  <c r="D21" i="6"/>
  <c r="G21" i="6"/>
  <c r="C21" i="6"/>
  <c r="O21" i="1"/>
  <c r="D9" i="6" l="1"/>
  <c r="E9" i="6"/>
  <c r="F9" i="6"/>
  <c r="G9" i="6"/>
  <c r="H9" i="6"/>
  <c r="I9" i="6"/>
  <c r="D13" i="6"/>
  <c r="E13" i="6"/>
  <c r="F13" i="6"/>
  <c r="G13" i="6"/>
  <c r="H13" i="6"/>
  <c r="J13" i="6"/>
  <c r="K13" i="6"/>
  <c r="E15" i="6"/>
  <c r="F15" i="6"/>
  <c r="G15" i="6"/>
  <c r="H15" i="6"/>
  <c r="K15" i="6"/>
  <c r="L15" i="6"/>
  <c r="M15" i="6"/>
  <c r="F17" i="6"/>
  <c r="G17" i="6"/>
  <c r="H17" i="6"/>
  <c r="L17" i="6"/>
  <c r="M17" i="6"/>
  <c r="N17" i="6"/>
  <c r="D18" i="6"/>
  <c r="G19" i="6"/>
  <c r="H19" i="6"/>
  <c r="M19" i="6"/>
  <c r="N19" i="6"/>
  <c r="E20" i="6"/>
  <c r="F20" i="6"/>
  <c r="H22" i="6"/>
  <c r="F23" i="6"/>
  <c r="G23" i="6"/>
  <c r="H23" i="6"/>
  <c r="G25" i="6"/>
  <c r="H25" i="6"/>
  <c r="J25" i="6"/>
  <c r="H27" i="6"/>
  <c r="K27" i="6"/>
  <c r="L27" i="6"/>
  <c r="L29" i="6"/>
  <c r="M29" i="6"/>
  <c r="N29" i="6"/>
  <c r="M31" i="6"/>
  <c r="N31" i="6"/>
  <c r="C24" i="6"/>
  <c r="C22" i="6"/>
  <c r="C19" i="6"/>
  <c r="C17" i="6"/>
  <c r="N22" i="6" l="1"/>
  <c r="C20" i="6"/>
  <c r="J31" i="6"/>
  <c r="D27" i="6"/>
  <c r="E17" i="6"/>
  <c r="F19" i="6"/>
  <c r="K26" i="6"/>
  <c r="M30" i="6"/>
  <c r="K28" i="6"/>
  <c r="I26" i="6"/>
  <c r="G24" i="6"/>
  <c r="E22" i="6"/>
  <c r="N18" i="6"/>
  <c r="L16" i="6"/>
  <c r="J14" i="6"/>
  <c r="H11" i="6"/>
  <c r="C18" i="6"/>
  <c r="J15" i="6"/>
  <c r="L31" i="6"/>
  <c r="F25" i="6"/>
  <c r="C23" i="6"/>
  <c r="H29" i="6"/>
  <c r="I31" i="6"/>
  <c r="K22" i="6"/>
  <c r="G31" i="6"/>
  <c r="I22" i="6"/>
  <c r="E31" i="6"/>
  <c r="C30" i="6"/>
  <c r="E19" i="6"/>
  <c r="L30" i="6"/>
  <c r="K16" i="6"/>
  <c r="K30" i="6"/>
  <c r="J17" i="6"/>
  <c r="J19" i="6"/>
  <c r="E29" i="6"/>
  <c r="N28" i="6"/>
  <c r="L26" i="6"/>
  <c r="N16" i="6"/>
  <c r="J26" i="6"/>
  <c r="M16" i="6"/>
  <c r="F24" i="6"/>
  <c r="I14" i="6"/>
  <c r="E24" i="6"/>
  <c r="F11" i="6"/>
  <c r="J30" i="6"/>
  <c r="F26" i="6"/>
  <c r="D24" i="6"/>
  <c r="M20" i="6"/>
  <c r="K18" i="6"/>
  <c r="I16" i="6"/>
  <c r="G14" i="6"/>
  <c r="E11" i="6"/>
  <c r="I27" i="6"/>
  <c r="D23" i="6"/>
  <c r="G27" i="6"/>
  <c r="M22" i="6"/>
  <c r="C25" i="6"/>
  <c r="N24" i="6"/>
  <c r="I19" i="6"/>
  <c r="C27" i="6"/>
  <c r="F31" i="6"/>
  <c r="I24" i="6"/>
  <c r="C31" i="6"/>
  <c r="F22" i="6"/>
  <c r="G11" i="6"/>
  <c r="N20" i="6"/>
  <c r="N23" i="6"/>
  <c r="L20" i="6"/>
  <c r="J18" i="6"/>
  <c r="H16" i="6"/>
  <c r="F14" i="6"/>
  <c r="D11" i="6"/>
  <c r="E8" i="6"/>
  <c r="I25" i="6"/>
  <c r="J27" i="6"/>
  <c r="K17" i="6"/>
  <c r="I29" i="6"/>
  <c r="C26" i="6"/>
  <c r="N11" i="6"/>
  <c r="D29" i="6"/>
  <c r="L11" i="6"/>
  <c r="D17" i="6"/>
  <c r="L14" i="6"/>
  <c r="I11" i="6"/>
  <c r="H26" i="6"/>
  <c r="M18" i="6"/>
  <c r="I28" i="6"/>
  <c r="L18" i="6"/>
  <c r="I30" i="6"/>
  <c r="F28" i="6"/>
  <c r="D26" i="6"/>
  <c r="M23" i="6"/>
  <c r="K20" i="6"/>
  <c r="I18" i="6"/>
  <c r="G16" i="6"/>
  <c r="E14" i="6"/>
  <c r="D8" i="6"/>
  <c r="E23" i="6"/>
  <c r="I15" i="6"/>
  <c r="K19" i="6"/>
  <c r="G29" i="6"/>
  <c r="M24" i="6"/>
  <c r="N26" i="6"/>
  <c r="K24" i="6"/>
  <c r="N14" i="6"/>
  <c r="J24" i="6"/>
  <c r="D31" i="6"/>
  <c r="G22" i="6"/>
  <c r="L28" i="6"/>
  <c r="L23" i="6"/>
  <c r="J20" i="6"/>
  <c r="H18" i="6"/>
  <c r="F16" i="6"/>
  <c r="D14" i="6"/>
  <c r="I13" i="6"/>
  <c r="E25" i="6"/>
  <c r="D25" i="6"/>
  <c r="L22" i="6"/>
  <c r="F29" i="6"/>
  <c r="L24" i="6"/>
  <c r="D15" i="6"/>
  <c r="M14" i="6"/>
  <c r="J11" i="6"/>
  <c r="N30" i="6"/>
  <c r="D19" i="6"/>
  <c r="D22" i="6"/>
  <c r="J16" i="6"/>
  <c r="E26" i="6"/>
  <c r="G30" i="6"/>
  <c r="N25" i="6"/>
  <c r="C14" i="6"/>
  <c r="F30" i="6"/>
  <c r="D28" i="6"/>
  <c r="M25" i="6"/>
  <c r="K23" i="6"/>
  <c r="I20" i="6"/>
  <c r="G18" i="6"/>
  <c r="E16" i="6"/>
  <c r="N13" i="6"/>
  <c r="J29" i="6"/>
  <c r="K31" i="6"/>
  <c r="L19" i="6"/>
  <c r="I17" i="6"/>
  <c r="E27" i="6"/>
  <c r="H31" i="6"/>
  <c r="M11" i="6"/>
  <c r="M26" i="6"/>
  <c r="C29" i="6"/>
  <c r="K11" i="6"/>
  <c r="M28" i="6"/>
  <c r="H24" i="6"/>
  <c r="K14" i="6"/>
  <c r="J28" i="6"/>
  <c r="G26" i="6"/>
  <c r="H14" i="6"/>
  <c r="H28" i="6"/>
  <c r="G28" i="6"/>
  <c r="H30" i="6"/>
  <c r="E28" i="6"/>
  <c r="C15" i="6"/>
  <c r="E30" i="6"/>
  <c r="L25" i="6"/>
  <c r="J23" i="6"/>
  <c r="H20" i="6"/>
  <c r="F18" i="6"/>
  <c r="D16" i="6"/>
  <c r="M13" i="6"/>
  <c r="D20" i="6"/>
  <c r="K29" i="6"/>
  <c r="F27" i="6"/>
  <c r="J22" i="6"/>
  <c r="C28" i="6"/>
  <c r="C11" i="6"/>
  <c r="C13" i="6"/>
  <c r="N27" i="6"/>
  <c r="C16" i="6"/>
  <c r="D30" i="6"/>
  <c r="M27" i="6"/>
  <c r="K25" i="6"/>
  <c r="I23" i="6"/>
  <c r="G20" i="6"/>
  <c r="E18" i="6"/>
  <c r="N15" i="6"/>
  <c r="L13" i="6"/>
  <c r="C8" i="6"/>
  <c r="N8" i="6"/>
  <c r="M8" i="6"/>
  <c r="L8" i="6"/>
  <c r="K8" i="6"/>
  <c r="J8" i="6"/>
  <c r="N9" i="6"/>
  <c r="I8" i="6"/>
  <c r="M9" i="6"/>
  <c r="H8" i="6"/>
  <c r="L9" i="6"/>
  <c r="G8" i="6"/>
  <c r="K9" i="6"/>
  <c r="F8" i="6"/>
  <c r="J9" i="6"/>
  <c r="O11" i="1"/>
  <c r="O12" i="1"/>
  <c r="O13" i="1"/>
  <c r="O14" i="1"/>
  <c r="O15" i="1"/>
  <c r="O16" i="1"/>
  <c r="O17" i="1"/>
  <c r="O18" i="1"/>
  <c r="O19" i="1"/>
  <c r="O20" i="1"/>
  <c r="O22" i="1"/>
  <c r="O23" i="1"/>
  <c r="O24" i="1"/>
  <c r="O25" i="1"/>
  <c r="O26" i="1"/>
  <c r="O27" i="1"/>
  <c r="O28" i="1"/>
  <c r="O29" i="1"/>
  <c r="O30" i="1"/>
  <c r="O31" i="1"/>
  <c r="O8" i="1"/>
  <c r="O30" i="6" l="1"/>
  <c r="O9" i="1"/>
  <c r="C9" i="6"/>
  <c r="O8" i="5"/>
  <c r="O31" i="5"/>
  <c r="O30" i="5"/>
  <c r="O29" i="5"/>
  <c r="O28" i="5"/>
  <c r="O27" i="5"/>
  <c r="O26" i="5"/>
  <c r="O25" i="5"/>
  <c r="O24" i="5"/>
  <c r="O23" i="5"/>
  <c r="O22" i="5"/>
  <c r="O21" i="5"/>
  <c r="O20" i="5"/>
  <c r="O19" i="5"/>
  <c r="O18" i="5"/>
  <c r="O17" i="5"/>
  <c r="O16" i="5"/>
  <c r="O15" i="5"/>
  <c r="O14" i="5"/>
  <c r="O13" i="5"/>
  <c r="O12" i="5"/>
  <c r="O11" i="5"/>
  <c r="O9" i="5"/>
  <c r="O8" i="4"/>
  <c r="O31" i="4"/>
  <c r="O30" i="4"/>
  <c r="O29" i="4"/>
  <c r="O28" i="4"/>
  <c r="O27" i="4"/>
  <c r="O26" i="4"/>
  <c r="O25" i="4"/>
  <c r="O24" i="4"/>
  <c r="O23" i="4"/>
  <c r="O22" i="4"/>
  <c r="O21" i="4"/>
  <c r="O20" i="4"/>
  <c r="O19" i="4"/>
  <c r="O18" i="4"/>
  <c r="O17" i="4"/>
  <c r="O16" i="4"/>
  <c r="O15" i="4"/>
  <c r="O14" i="4"/>
  <c r="O13" i="4"/>
  <c r="O12" i="4"/>
  <c r="O11" i="4"/>
  <c r="O8" i="3"/>
  <c r="O31" i="3"/>
  <c r="O30" i="3"/>
  <c r="O29" i="3"/>
  <c r="O28" i="3"/>
  <c r="O27" i="3"/>
  <c r="O26" i="3"/>
  <c r="O25" i="3"/>
  <c r="O24" i="3"/>
  <c r="O23" i="3"/>
  <c r="O22" i="3"/>
  <c r="O21" i="3"/>
  <c r="O20" i="3"/>
  <c r="O19" i="3"/>
  <c r="O18" i="3"/>
  <c r="O17" i="3"/>
  <c r="O16" i="3"/>
  <c r="O15" i="3"/>
  <c r="O14" i="3"/>
  <c r="O13" i="3"/>
  <c r="O12" i="3"/>
  <c r="O11" i="3"/>
  <c r="O9" i="3"/>
  <c r="O8" i="2"/>
  <c r="O31" i="2"/>
  <c r="O30" i="2"/>
  <c r="O29" i="2"/>
  <c r="O28" i="2"/>
  <c r="O27" i="2"/>
  <c r="O26" i="2"/>
  <c r="O25" i="2"/>
  <c r="O24" i="2"/>
  <c r="O23" i="2"/>
  <c r="O22" i="2"/>
  <c r="O21" i="2"/>
  <c r="O20" i="2"/>
  <c r="O19" i="2"/>
  <c r="O18" i="2"/>
  <c r="O17" i="2"/>
  <c r="O16" i="2"/>
  <c r="O15" i="2"/>
  <c r="O14" i="2"/>
  <c r="O13" i="2"/>
  <c r="O12" i="2"/>
  <c r="O11" i="2"/>
  <c r="O9" i="2"/>
  <c r="O17" i="6" l="1"/>
  <c r="O22" i="6"/>
  <c r="O26" i="6"/>
  <c r="O13" i="6"/>
  <c r="O29" i="6"/>
  <c r="O9" i="4"/>
  <c r="O21" i="6"/>
  <c r="O25" i="6"/>
  <c r="O18" i="6"/>
  <c r="O14" i="6"/>
  <c r="O9" i="6"/>
  <c r="O15" i="6"/>
  <c r="O19" i="6"/>
  <c r="O23" i="6"/>
  <c r="O27" i="6"/>
  <c r="O31" i="6"/>
  <c r="O12" i="6"/>
  <c r="O16" i="6"/>
  <c r="O20" i="6"/>
  <c r="O24" i="6"/>
  <c r="O28" i="6"/>
  <c r="O8" i="6"/>
  <c r="N32" i="5" l="1"/>
  <c r="M32" i="5"/>
  <c r="L32" i="5"/>
  <c r="I32" i="5"/>
  <c r="H32" i="5"/>
  <c r="G32" i="5"/>
  <c r="F32" i="5"/>
  <c r="E32" i="5"/>
  <c r="D32" i="5"/>
  <c r="C32" i="5"/>
  <c r="N32" i="4"/>
  <c r="M32" i="4"/>
  <c r="L32" i="4"/>
  <c r="K32" i="4"/>
  <c r="J32" i="4"/>
  <c r="I32" i="4"/>
  <c r="H32" i="4"/>
  <c r="G32" i="4"/>
  <c r="F32" i="4"/>
  <c r="N32" i="3"/>
  <c r="M32" i="3"/>
  <c r="L32" i="3"/>
  <c r="K32" i="3"/>
  <c r="J32" i="3"/>
  <c r="I32" i="3"/>
  <c r="E32" i="3"/>
  <c r="D32" i="3"/>
  <c r="K32" i="2"/>
  <c r="J32" i="2"/>
  <c r="H32" i="2"/>
  <c r="G32" i="2"/>
  <c r="F32" i="2"/>
  <c r="E32" i="2"/>
  <c r="D32" i="2"/>
  <c r="C32" i="2"/>
  <c r="N32" i="1"/>
  <c r="M32" i="1"/>
  <c r="L32" i="1"/>
  <c r="K32" i="1"/>
  <c r="H32" i="1"/>
  <c r="G32" i="1"/>
  <c r="F32" i="1"/>
  <c r="E32" i="1"/>
  <c r="D32" i="1"/>
  <c r="C32" i="1"/>
  <c r="M32" i="2" l="1"/>
  <c r="I32" i="2"/>
  <c r="H32" i="3"/>
  <c r="F32" i="3"/>
  <c r="J32" i="1"/>
  <c r="J32" i="5"/>
  <c r="G32" i="3"/>
  <c r="K32" i="5"/>
  <c r="E32" i="4"/>
  <c r="N32" i="2"/>
  <c r="C32" i="4"/>
  <c r="D10" i="6" l="1"/>
  <c r="D32" i="6" s="1"/>
  <c r="D32" i="4"/>
  <c r="L10" i="6"/>
  <c r="L32" i="6" s="1"/>
  <c r="L32" i="2"/>
  <c r="K10" i="6"/>
  <c r="K32" i="6" s="1"/>
  <c r="C10" i="6"/>
  <c r="C32" i="6" s="1"/>
  <c r="C32" i="3"/>
  <c r="I10" i="6"/>
  <c r="I32" i="6" s="1"/>
  <c r="I32" i="1"/>
  <c r="E10" i="6"/>
  <c r="E32" i="6" s="1"/>
  <c r="F10" i="6"/>
  <c r="F32" i="6" s="1"/>
  <c r="H10" i="6"/>
  <c r="H32" i="6" s="1"/>
  <c r="J10" i="6"/>
  <c r="J32" i="6" s="1"/>
  <c r="N10" i="6"/>
  <c r="N32" i="6" s="1"/>
  <c r="M10" i="6"/>
  <c r="M32" i="6" s="1"/>
  <c r="G10" i="6"/>
  <c r="G32" i="6" s="1"/>
  <c r="O10" i="5"/>
  <c r="O32" i="5" s="1"/>
  <c r="O10" i="1"/>
  <c r="O32" i="1" s="1"/>
  <c r="O10" i="2"/>
  <c r="O32" i="2" s="1"/>
  <c r="O10" i="4"/>
  <c r="O32" i="4" s="1"/>
  <c r="O10" i="3"/>
  <c r="O32" i="3" s="1"/>
  <c r="O11" i="6" l="1"/>
  <c r="O10" i="6"/>
  <c r="O32" i="6" s="1"/>
</calcChain>
</file>

<file path=xl/sharedStrings.xml><?xml version="1.0" encoding="utf-8"?>
<sst xmlns="http://schemas.openxmlformats.org/spreadsheetml/2006/main" count="495" uniqueCount="95">
  <si>
    <t>IMPUESTOS SOBRE LOS INGRESOS BRUTOS</t>
  </si>
  <si>
    <t>IMPUESTO INMOBILIARIO</t>
  </si>
  <si>
    <t>IMPUESTOS A LOS SELLOS</t>
  </si>
  <si>
    <t>IMPUESTOS AUTOMOTOR</t>
  </si>
  <si>
    <t>OTROS IMPUESTOS</t>
  </si>
  <si>
    <t>RECURSOS TRIBUTARIOS PROVINCIALES</t>
  </si>
  <si>
    <t>en millones de pesos</t>
  </si>
  <si>
    <t>Información remitida por la provincia</t>
  </si>
  <si>
    <t>POTESTADES TRIBUTARIAS DELEGADAS</t>
  </si>
  <si>
    <t>Provincial</t>
  </si>
  <si>
    <t>Municipal</t>
  </si>
  <si>
    <t>Municipal (**)</t>
  </si>
  <si>
    <t>Municipal  (*)</t>
  </si>
  <si>
    <t>(*) sólo incluye la derivada del Convenio Multilateral y contribuyentes directos fuera de ejido municipal. La originada por contribuyentes directos dentro del ejido municipal se encuentra delegada a los gobiernos municipales</t>
  </si>
  <si>
    <t>https://dpip.sanluis.gov.ar/informes/</t>
  </si>
  <si>
    <t>https://www.aref.gob.ar/estadistica-tributaria/</t>
  </si>
  <si>
    <t>https://atp.chaco.gob.ar/recaudacion</t>
  </si>
  <si>
    <t>https://www.rentasjujuy.gob.ar/recaudacion/</t>
  </si>
  <si>
    <t>https://www.dgiplarioja.gob.ar/frontend51/page?1,principal,LR-Informes-de-Recaudacion,O,es,0,</t>
  </si>
  <si>
    <t>http://www.rentastucuman.gob.ar/nomina/rentastuc2/nwdatos_interes/recaudacion.php</t>
  </si>
  <si>
    <t>https://www.gba.gob.ar/economia/direccion_provincial_de_politica_tributaria/recaudacion_provincial</t>
  </si>
  <si>
    <t>https://portal.entrerios.gov.ar/haciendayfinanzas/analisisfiscal/ps/ingresospublicos/6792</t>
  </si>
  <si>
    <t>https://www.formosa.gob.ar/atp/recaudaciones</t>
  </si>
  <si>
    <t>https://www.atm.mendoza.gov.ar/portalatm/zoneBottom/datosInteres/recaudacion/recaudacion_por_impuesto_anual.jsp</t>
  </si>
  <si>
    <t>https://atmisiones.gob.ar/documentacion-y-estadisticas/</t>
  </si>
  <si>
    <t>https://dprneuquen.gob.ar/recaudacion-mensual/</t>
  </si>
  <si>
    <t>https://agencia.rionegro.gov.ar/?contID=60047</t>
  </si>
  <si>
    <t>https://recaudacionrentas.sanjuan.gob.ar/</t>
  </si>
  <si>
    <t>https://www.asip.gob.ar/recaudacion/</t>
  </si>
  <si>
    <t>https://www.agip.gob.ar/informacion-de-utilidad/recaudacion/recaudacion</t>
  </si>
  <si>
    <t xml:space="preserve">Nota: </t>
  </si>
  <si>
    <t>SUBSECRETARÍA DE COORDINACIÓN FISCAL PROVINCIAL</t>
  </si>
  <si>
    <t>Jurisdicción</t>
  </si>
  <si>
    <t>Ingresos Brutos</t>
  </si>
  <si>
    <t>Inmobiliario</t>
  </si>
  <si>
    <t>Automotor</t>
  </si>
  <si>
    <t>Sellos</t>
  </si>
  <si>
    <t>Directos</t>
  </si>
  <si>
    <t>Conv. Mult.</t>
  </si>
  <si>
    <t>Urbano</t>
  </si>
  <si>
    <t>Rural</t>
  </si>
  <si>
    <t>Buenos Aires</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</si>
  <si>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</si>
  <si>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</si>
  <si>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</si>
  <si>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</si>
  <si>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</si>
  <si>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</si>
  <si>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</si>
  <si>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</si>
  <si>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</si>
  <si>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</si>
  <si>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</si>
  <si>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</si>
  <si>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</si>
  <si>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</si>
  <si>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</si>
  <si>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</si>
  <si>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</si>
  <si>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</si>
  <si>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Fé</t>
  </si>
  <si>
    <t>Santiago del Estero</t>
  </si>
  <si>
    <t>Tucumán</t>
  </si>
  <si>
    <t>Tierra del Fuego</t>
  </si>
  <si>
    <r>
      <t>Fuente:</t>
    </r>
    <r>
      <rPr>
        <i/>
        <sz val="11"/>
        <rFont val="Roboto"/>
      </rPr>
      <t xml:space="preserve"> Dirección Nacional de Asuntos Provinciales.</t>
    </r>
  </si>
  <si>
    <t>Notas:</t>
  </si>
  <si>
    <r>
      <t>(*)</t>
    </r>
    <r>
      <rPr>
        <i/>
        <sz val="11"/>
        <rFont val="Roboto"/>
      </rPr>
      <t xml:space="preserve"> La recaudación del Impuesto sobre los Ingresos Brutos a nivel provincial incluye la derivada del Convenio Multilateral y contribuyentes directos fuera de ejido municipal, en razón que la originada por contribuyentes directos dentro del ejido municipal se encuentra delegada a los gobiernos municipales. </t>
    </r>
  </si>
  <si>
    <r>
      <t>(**)</t>
    </r>
    <r>
      <rPr>
        <i/>
        <sz val="11"/>
        <rFont val="Roboto"/>
      </rPr>
      <t xml:space="preserve"> De acuerdo a la Constitución Provincial el impuesto es de potestad municipal, aunque en la práctica la estructura del impuesto la define la Provincia y la gestión del cobro esta descentralizada.</t>
    </r>
  </si>
  <si>
    <t xml:space="preserve">CONSIDERACIONES METODOLÓGICAS
</t>
  </si>
  <si>
    <t>La información de tributarios provinciales mensuales proviene de las Direcciones de Rentas o Administraciones Tributarias Provinciales. Consecuentemente, la Dirección Nacional de Asuntos Provinciales sólo la replica  tal como es divulgada por dichos organismos sin realizar modificaciones ni cambios de ninguna naturaleza. Cabe aclarar que, por ejemplo, puede incluir recursos no tributarios cuya recaudación se encuentra bajo la órbita de los organismos recaudadores. La periodicidad de la publicación es mensual pero podría variar en función de la información disponible en las páginas web provinciales consultadas. Los montos podrían ser rectificados en función de la disponibilidad de nuevos datos.
Adicionalmente, se recuerda que la distribución de potestades tributarias no es homogénea en todas las jurisdicciones por lo que deben tenerse en cuenta a la hora de confeccionar comparaciones. Los datos del presente informe corresponden exclusivamente a los ingresos de potestad provincial. Para consultar información municipal puede dirigirse a los sitios WEB oficiales de cada jurisdicción o: 
https://www.economia.gob.ar/dnap/municipios.html</t>
  </si>
  <si>
    <t>Sitio Web</t>
  </si>
  <si>
    <t>CABA</t>
  </si>
  <si>
    <t>Febrero</t>
  </si>
  <si>
    <t xml:space="preserve">Enero </t>
  </si>
  <si>
    <t>Marzo</t>
  </si>
  <si>
    <t>Abril</t>
  </si>
  <si>
    <t>Mayo</t>
  </si>
  <si>
    <t>Junio</t>
  </si>
  <si>
    <t>Julio</t>
  </si>
  <si>
    <t>Agosto</t>
  </si>
  <si>
    <t>Septiembre</t>
  </si>
  <si>
    <t>Octubre</t>
  </si>
  <si>
    <t>Noviembre</t>
  </si>
  <si>
    <t>Diciembre</t>
  </si>
  <si>
    <t>Total</t>
  </si>
  <si>
    <t xml:space="preserve">Notas: </t>
  </si>
  <si>
    <t>Fuente: Direcciones de Rentas o Administraciones Tributarias Provinciales. Para más detalle ver hoja "Fuente-Metodología".</t>
  </si>
  <si>
    <t>Chubut (*)</t>
  </si>
  <si>
    <t>Santa Fe</t>
  </si>
  <si>
    <t>C.A.B.A.</t>
  </si>
  <si>
    <t>https://economiaygestionpublica.cba.gov.ar/publicacion/ingresos-tributarios/</t>
  </si>
  <si>
    <r>
      <rPr>
        <sz val="11"/>
        <rFont val="Roboto"/>
      </rPr>
      <t>Dirección General de Rentas de La Pampa. Datos publicados en el sitio de la Contaduría General de la provincia.</t>
    </r>
    <r>
      <rPr>
        <u/>
        <sz val="11"/>
        <color rgb="FF0000FF"/>
        <rFont val="Roboto"/>
      </rPr>
      <t xml:space="preserve">
'https://contaduriageneral.lapampa.gob.ar/ejecucion-presupuestaria/ano-2025/informe-de-recursos-mensual </t>
    </r>
  </si>
  <si>
    <t>Última actualización</t>
  </si>
  <si>
    <t>https://www.dgrsalta.gov.ar/Inicio/OtrasGestiones/Estadisticas/2025</t>
  </si>
  <si>
    <t>https://www.santafe.gov.ar/index.php/web/content/view/full/255136/(subtema)/116436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</si>
</sst>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_ &quot;$&quot;\ * #,##0.00_ ;_ &quot;$&quot;\ * \-#,##0.00_ ;_ &quot;$&quot;\ * &quot;-&quot;??_ ;_ @_ "/>
    <numFmt numFmtId="167" formatCode="0.0"/>
    <numFmt numFmtId="168" formatCode="_-* #,##0.00\ [$€]_-;\-* #,##0.00\ [$€]_-;_-* &quot;-&quot;??\ [$€]_-;_-@_-"/>
    <numFmt numFmtId="169" formatCode="General_)"/>
    <numFmt numFmtId="170" formatCode="#,##0;\-#,##0;&quot;-&quot;"/>
    <numFmt numFmtId="171" formatCode="dd\-mm\-yyyy;@"/>
  </numFmts>
  <fonts count="40" x14ac:knownFonts="1">
    <font>
      <sz val="10"/>
      <name val="Arial"/>
    </font>
    <font>
      <sz val="10"/>
      <name val="Arial"/>
      <family val="2"/>
    </font>
    <font>
      <b/>
      <sz val="12"/>
      <name val="Arial"/>
      <family val="2"/>
    </font>
    <font>
      <b/>
      <i/>
      <sz val="12"/>
      <name val="Arial"/>
      <family val="2"/>
    </font>
    <font>
      <b/>
      <sz val="10"/>
      <name val="Arial"/>
      <family val="2"/>
    </font>
    <font>
      <i/>
      <sz val="12"/>
      <color indexed="8"/>
      <name val="Comic Sans MS"/>
      <family val="4"/>
    </font>
    <font>
      <b/>
      <sz val="10"/>
      <color indexed="9"/>
      <name val="Arial"/>
      <family val="2"/>
    </font>
    <font>
      <sz val="46"/>
      <name val="Arial"/>
      <family val="2"/>
    </font>
    <font>
      <sz val="11"/>
      <name val="Arial"/>
      <family val="2"/>
    </font>
    <font>
      <sz val="10"/>
      <name val="Arial"/>
      <family val="2"/>
    </font>
    <font>
      <sz val="16"/>
      <name val="Arial"/>
      <family val="2"/>
    </font>
    <font>
      <sz val="10"/>
      <name val="Courier"/>
      <family val="3"/>
    </font>
    <font>
      <u/>
      <sz val="5"/>
      <color indexed="12"/>
      <name val="Courier"/>
      <family val="3"/>
    </font>
    <font>
      <u/>
      <sz val="10"/>
      <color theme="10"/>
      <name val="Arial"/>
      <family val="2"/>
    </font>
    <font>
      <sz val="10"/>
      <name val="Roboto"/>
    </font>
    <font>
      <i/>
      <sz val="12"/>
      <color indexed="8"/>
      <name val="Roboto"/>
    </font>
    <font>
      <b/>
      <sz val="14"/>
      <name val="Roboto"/>
    </font>
    <font>
      <b/>
      <sz val="14"/>
      <color indexed="8"/>
      <name val="Roboto"/>
    </font>
    <font>
      <sz val="11"/>
      <color indexed="8"/>
      <name val="Roboto"/>
    </font>
    <font>
      <b/>
      <sz val="11"/>
      <color indexed="8"/>
      <name val="Roboto"/>
    </font>
    <font>
      <b/>
      <sz val="11"/>
      <color indexed="9"/>
      <name val="Roboto"/>
    </font>
    <font>
      <b/>
      <sz val="11"/>
      <color theme="0" tint="-0.14999847407452621"/>
      <name val="Roboto"/>
    </font>
    <font>
      <b/>
      <i/>
      <u/>
      <sz val="11"/>
      <name val="Roboto"/>
    </font>
    <font>
      <i/>
      <sz val="11"/>
      <name val="Roboto"/>
    </font>
    <font>
      <sz val="11"/>
      <name val="Roboto"/>
    </font>
    <font>
      <b/>
      <sz val="10"/>
      <name val="Roboto"/>
    </font>
    <font>
      <b/>
      <sz val="11"/>
      <name val="Roboto"/>
    </font>
    <font>
      <sz val="11"/>
      <color indexed="9"/>
      <name val="Roboto"/>
    </font>
    <font>
      <b/>
      <i/>
      <sz val="11"/>
      <name val="Roboto"/>
    </font>
    <font>
      <u/>
      <sz val="11"/>
      <color theme="10"/>
      <name val="Roboto"/>
    </font>
    <font>
      <b/>
      <sz val="12"/>
      <color indexed="9"/>
      <name val="Roboto"/>
    </font>
    <font>
      <b/>
      <sz val="12"/>
      <color indexed="8"/>
      <name val="Roboto"/>
    </font>
    <font>
      <b/>
      <sz val="12"/>
      <color theme="0" tint="-0.14999847407452621"/>
      <name val="Roboto"/>
    </font>
    <font>
      <u/>
      <sz val="11"/>
      <color rgb="FF0000FF"/>
      <name val="Roboto"/>
    </font>
    <font>
      <i/>
      <sz val="11"/>
      <color theme="1"/>
      <name val="Roboto"/>
    </font>
    <font>
      <sz val="12"/>
      <name val="Arial"/>
      <family val="2"/>
    </font>
    <font>
      <b/>
      <i/>
      <u/>
      <sz val="10"/>
      <name val="Roboto"/>
    </font>
    <font>
      <i/>
      <sz val="10"/>
      <name val="Roboto"/>
    </font>
    <font>
      <i/>
      <sz val="10"/>
      <name val="Arial"/>
      <family val="2"/>
    </font>
    <font>
      <sz val="11"/>
      <color rgb="FF0000FF"/>
      <name val="Roboto"/>
    </font>
  </fonts>
  <fills count="5">
    <fill>
      <patternFill patternType="none"/>
    </fill>
    <fill>
      <patternFill patternType="gray125"/>
    </fill>
    <fill>
      <patternFill patternType="solid">
        <fgColor theme="0"/>
        <bgColor indexed="64"/>
      </patternFill>
    </fill>
    <fill>
      <patternFill patternType="solid">
        <fgColor rgb="FF242C4F"/>
        <bgColor indexed="64"/>
      </patternFill>
    </fill>
    <fill>
      <patternFill patternType="solid">
        <fgColor theme="0" tint="-0.14999847407452621"/>
        <bgColor indexed="64"/>
      </patternFill>
    </fill>
  </fills>
  <borders count="16">
    <border>
      <left/>
      <right/>
      <top/>
      <bottom/>
      <diagonal/>
    </border>
    <border>
      <left/>
      <right/>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bottom style="thin">
        <color theme="0" tint="-0.149967955565050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14996795556505021"/>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14996795556505021"/>
      </right>
      <top style="thin">
        <color theme="0" tint="-0.34998626667073579"/>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14996795556505021"/>
      </right>
      <top style="thin">
        <color theme="0" tint="-0.34998626667073579"/>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33">
    <xf numFmtId="0" fontId="0" fillId="0" borderId="0"/>
    <xf numFmtId="166"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168"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12" fillId="0" borderId="0" applyNumberFormat="0" applyFill="0" applyBorder="0" applyAlignment="0" applyProtection="0">
      <alignment vertical="top"/>
      <protection locked="0"/>
    </xf>
    <xf numFmtId="0" fontId="9" fillId="0" borderId="0"/>
    <xf numFmtId="0" fontId="11"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3" fillId="0" borderId="0" applyNumberForma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16">
    <xf numFmtId="0" fontId="0" fillId="0" borderId="0" xfId="0"/>
    <xf numFmtId="164" fontId="2" fillId="0" borderId="0" xfId="0" applyNumberFormat="1" applyFont="1"/>
    <xf numFmtId="164" fontId="2" fillId="0" borderId="0" xfId="0" quotePrefix="1" applyNumberFormat="1" applyFont="1"/>
    <xf numFmtId="164" fontId="3" fillId="0" borderId="0" xfId="0" applyNumberFormat="1" applyFont="1"/>
    <xf numFmtId="164" fontId="4" fillId="0" borderId="0" xfId="0" applyNumberFormat="1" applyFont="1"/>
    <xf numFmtId="4" fontId="5" fillId="0" borderId="0" xfId="0" applyNumberFormat="1" applyFont="1"/>
    <xf numFmtId="0" fontId="5" fillId="0" borderId="0" xfId="0" applyFont="1"/>
    <xf numFmtId="165" fontId="5" fillId="0" borderId="0" xfId="2" applyNumberFormat="1" applyFont="1" applyFill="1" applyAlignment="1"/>
    <xf numFmtId="0" fontId="7" fillId="0" borderId="0" xfId="0" applyFont="1"/>
    <xf numFmtId="9" fontId="1" fillId="2" borderId="0" xfId="2" applyFont="1" applyFill="1"/>
    <xf numFmtId="10" fontId="1" fillId="2" borderId="0" xfId="0" applyNumberFormat="1" applyFont="1" applyFill="1"/>
    <xf numFmtId="0" fontId="1" fillId="2" borderId="0" xfId="0" applyFont="1" applyFill="1"/>
    <xf numFmtId="9" fontId="1" fillId="0" borderId="0" xfId="2" applyFont="1"/>
    <xf numFmtId="10" fontId="1" fillId="0" borderId="0" xfId="0" applyNumberFormat="1" applyFont="1"/>
    <xf numFmtId="0" fontId="1" fillId="0" borderId="0" xfId="0" applyFont="1"/>
    <xf numFmtId="166" fontId="1" fillId="0" borderId="0" xfId="1" applyFont="1"/>
    <xf numFmtId="164" fontId="0" fillId="0" borderId="0" xfId="0" applyNumberFormat="1"/>
    <xf numFmtId="167" fontId="0" fillId="0" borderId="0" xfId="0" applyNumberFormat="1"/>
    <xf numFmtId="0" fontId="10" fillId="0" borderId="0" xfId="0" applyFont="1"/>
    <xf numFmtId="164" fontId="8" fillId="0" borderId="0" xfId="2" applyNumberFormat="1" applyFont="1" applyFill="1" applyBorder="1" applyAlignment="1" applyProtection="1"/>
    <xf numFmtId="167" fontId="0" fillId="0" borderId="0" xfId="1" applyNumberFormat="1" applyFont="1"/>
    <xf numFmtId="2" fontId="0" fillId="0" borderId="0" xfId="1" applyNumberFormat="1" applyFont="1"/>
    <xf numFmtId="4" fontId="0" fillId="0" borderId="0" xfId="0" applyNumberFormat="1"/>
    <xf numFmtId="49" fontId="6" fillId="0" borderId="0" xfId="0" applyNumberFormat="1"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justify" wrapText="1"/>
    </xf>
    <xf numFmtId="0" fontId="6" fillId="0" borderId="0" xfId="0" applyFont="1" applyAlignment="1">
      <alignment vertical="center" wrapText="1"/>
    </xf>
    <xf numFmtId="0" fontId="14" fillId="0" borderId="0" xfId="0" applyFont="1"/>
    <xf numFmtId="4" fontId="15" fillId="0" borderId="0" xfId="0" applyNumberFormat="1" applyFont="1"/>
    <xf numFmtId="0" fontId="15" fillId="0" borderId="0" xfId="0" applyFont="1"/>
    <xf numFmtId="165" fontId="15" fillId="0" borderId="0" xfId="2" applyNumberFormat="1" applyFont="1" applyFill="1" applyAlignment="1"/>
    <xf numFmtId="0" fontId="24" fillId="0" borderId="1" xfId="0" applyFont="1" applyBorder="1"/>
    <xf numFmtId="0" fontId="25" fillId="0" borderId="0" xfId="20" applyFont="1" applyAlignment="1">
      <alignment horizontal="left"/>
    </xf>
    <xf numFmtId="0" fontId="24" fillId="2" borderId="0" xfId="19" applyFont="1" applyFill="1"/>
    <xf numFmtId="0" fontId="24" fillId="0" borderId="0" xfId="19" applyFont="1"/>
    <xf numFmtId="0" fontId="16" fillId="2" borderId="0" xfId="19" applyFont="1" applyFill="1" applyAlignment="1">
      <alignment horizontal="centerContinuous"/>
    </xf>
    <xf numFmtId="0" fontId="16" fillId="2" borderId="0" xfId="19" applyFont="1" applyFill="1"/>
    <xf numFmtId="0" fontId="16" fillId="0" borderId="0" xfId="19" applyFont="1"/>
    <xf numFmtId="0" fontId="26" fillId="2" borderId="0" xfId="19" applyFont="1" applyFill="1"/>
    <xf numFmtId="0" fontId="26" fillId="0" borderId="0" xfId="19" applyFont="1"/>
    <xf numFmtId="0" fontId="27" fillId="3" borderId="2" xfId="19" applyFont="1" applyFill="1" applyBorder="1" applyAlignment="1">
      <alignment horizontal="center" vertical="center"/>
    </xf>
    <xf numFmtId="0" fontId="19" fillId="2" borderId="3" xfId="21" applyFont="1" applyFill="1" applyBorder="1" applyAlignment="1">
      <alignment horizontal="left"/>
    </xf>
    <xf numFmtId="0" fontId="24" fillId="0" borderId="2" xfId="19" applyFont="1" applyBorder="1" applyAlignment="1">
      <alignment horizontal="center"/>
    </xf>
    <xf numFmtId="0" fontId="19" fillId="2" borderId="3" xfId="21" quotePrefix="1" applyFont="1" applyFill="1" applyBorder="1" applyAlignment="1">
      <alignment horizontal="left"/>
    </xf>
    <xf numFmtId="37" fontId="28" fillId="0" borderId="0" xfId="19" applyNumberFormat="1" applyFont="1"/>
    <xf numFmtId="2" fontId="24" fillId="0" borderId="0" xfId="19" applyNumberFormat="1" applyFont="1" applyAlignment="1">
      <alignment horizontal="center"/>
    </xf>
    <xf numFmtId="2" fontId="26" fillId="0" borderId="0" xfId="19" applyNumberFormat="1" applyFont="1" applyAlignment="1">
      <alignment horizontal="center"/>
    </xf>
    <xf numFmtId="37" fontId="22" fillId="0" borderId="0" xfId="19" applyNumberFormat="1" applyFont="1"/>
    <xf numFmtId="0" fontId="24" fillId="0" borderId="0" xfId="19" applyFont="1" applyAlignment="1">
      <alignment vertical="center" wrapText="1"/>
    </xf>
    <xf numFmtId="0" fontId="24" fillId="0" borderId="1" xfId="21" applyFont="1" applyBorder="1"/>
    <xf numFmtId="9" fontId="24" fillId="0" borderId="1" xfId="2" applyFont="1" applyBorder="1"/>
    <xf numFmtId="164" fontId="24" fillId="0" borderId="0" xfId="21" applyNumberFormat="1" applyFont="1"/>
    <xf numFmtId="169" fontId="24" fillId="0" borderId="0" xfId="19" applyNumberFormat="1" applyFont="1" applyAlignment="1">
      <alignment horizontal="left" vertical="center" wrapText="1"/>
    </xf>
    <xf numFmtId="0" fontId="24" fillId="0" borderId="0" xfId="21" applyFont="1"/>
    <xf numFmtId="0" fontId="26" fillId="0" borderId="0" xfId="21" applyFont="1"/>
    <xf numFmtId="0" fontId="29" fillId="0" borderId="0" xfId="18" applyFont="1"/>
    <xf numFmtId="0" fontId="24" fillId="2" borderId="0" xfId="21" applyFont="1" applyFill="1"/>
    <xf numFmtId="0" fontId="19" fillId="2" borderId="2" xfId="21" applyFont="1" applyFill="1" applyBorder="1" applyAlignment="1">
      <alignment horizontal="left"/>
    </xf>
    <xf numFmtId="0" fontId="19" fillId="2" borderId="2" xfId="21" quotePrefix="1" applyFont="1" applyFill="1" applyBorder="1" applyAlignment="1">
      <alignment horizontal="left"/>
    </xf>
    <xf numFmtId="0" fontId="26" fillId="0" borderId="0" xfId="0" applyFont="1"/>
    <xf numFmtId="0" fontId="24" fillId="0" borderId="0" xfId="0" applyFont="1"/>
    <xf numFmtId="2" fontId="30" fillId="3" borderId="2" xfId="0" applyNumberFormat="1" applyFont="1" applyFill="1" applyBorder="1" applyAlignment="1">
      <alignment horizontal="center" vertical="center"/>
    </xf>
    <xf numFmtId="170" fontId="18" fillId="2" borderId="2" xfId="21" applyNumberFormat="1" applyFont="1" applyFill="1" applyBorder="1" applyAlignment="1">
      <alignment horizontal="center"/>
    </xf>
    <xf numFmtId="170" fontId="31" fillId="4" borderId="5" xfId="21" applyNumberFormat="1" applyFont="1" applyFill="1" applyBorder="1" applyAlignment="1">
      <alignment horizontal="center"/>
    </xf>
    <xf numFmtId="0" fontId="32" fillId="3" borderId="2" xfId="21" applyFont="1" applyFill="1" applyBorder="1" applyAlignment="1">
      <alignment horizontal="center" vertical="center"/>
    </xf>
    <xf numFmtId="170" fontId="32" fillId="3" borderId="2" xfId="21" applyNumberFormat="1" applyFont="1" applyFill="1" applyBorder="1" applyAlignment="1">
      <alignment horizontal="center" vertical="center"/>
    </xf>
    <xf numFmtId="0" fontId="26" fillId="4" borderId="6" xfId="19" applyFont="1" applyFill="1" applyBorder="1" applyAlignment="1">
      <alignment horizontal="center"/>
    </xf>
    <xf numFmtId="0" fontId="26" fillId="4" borderId="7" xfId="19" applyFont="1" applyFill="1" applyBorder="1" applyAlignment="1">
      <alignment horizontal="center"/>
    </xf>
    <xf numFmtId="0" fontId="26" fillId="4" borderId="8" xfId="19" applyFont="1" applyFill="1" applyBorder="1" applyAlignment="1">
      <alignment horizontal="center"/>
    </xf>
    <xf numFmtId="0" fontId="26" fillId="4" borderId="9" xfId="19" applyFont="1" applyFill="1" applyBorder="1" applyAlignment="1">
      <alignment horizontal="center"/>
    </xf>
    <xf numFmtId="0" fontId="26" fillId="4" borderId="10" xfId="19" applyFont="1" applyFill="1" applyBorder="1" applyAlignment="1">
      <alignment horizontal="center"/>
    </xf>
    <xf numFmtId="0" fontId="26" fillId="4" borderId="11" xfId="19" applyFont="1" applyFill="1" applyBorder="1" applyAlignment="1">
      <alignment horizontal="center"/>
    </xf>
    <xf numFmtId="0" fontId="24" fillId="0" borderId="11" xfId="19" applyFont="1" applyBorder="1" applyAlignment="1">
      <alignment horizontal="center"/>
    </xf>
    <xf numFmtId="0" fontId="24" fillId="0" borderId="10" xfId="19" applyFont="1" applyBorder="1" applyAlignment="1">
      <alignment horizontal="center"/>
    </xf>
    <xf numFmtId="0" fontId="24" fillId="0" borderId="9" xfId="19" applyFont="1" applyBorder="1" applyAlignment="1">
      <alignment horizontal="center"/>
    </xf>
    <xf numFmtId="0" fontId="26" fillId="4" borderId="12" xfId="19" applyFont="1" applyFill="1" applyBorder="1" applyAlignment="1">
      <alignment horizontal="center"/>
    </xf>
    <xf numFmtId="0" fontId="26" fillId="4" borderId="13" xfId="19" applyFont="1" applyFill="1" applyBorder="1" applyAlignment="1">
      <alignment horizontal="center"/>
    </xf>
    <xf numFmtId="0" fontId="24" fillId="0" borderId="13" xfId="19" applyFont="1" applyBorder="1" applyAlignment="1">
      <alignment horizontal="center"/>
    </xf>
    <xf numFmtId="0" fontId="24" fillId="0" borderId="14" xfId="19" applyFont="1" applyBorder="1" applyAlignment="1">
      <alignment horizontal="center"/>
    </xf>
    <xf numFmtId="0" fontId="35" fillId="0" borderId="0" xfId="0" applyFont="1"/>
    <xf numFmtId="0" fontId="24" fillId="0" borderId="0" xfId="0" applyFont="1" applyAlignment="1">
      <alignment vertical="center"/>
    </xf>
    <xf numFmtId="164" fontId="24" fillId="0" borderId="0" xfId="0" applyNumberFormat="1" applyFont="1"/>
    <xf numFmtId="0" fontId="36" fillId="0" borderId="0" xfId="0" applyFont="1"/>
    <xf numFmtId="0" fontId="37" fillId="0" borderId="0" xfId="0" applyFont="1"/>
    <xf numFmtId="0" fontId="37" fillId="0" borderId="1" xfId="0" applyFont="1" applyBorder="1" applyAlignment="1">
      <alignment vertical="center"/>
    </xf>
    <xf numFmtId="0" fontId="25" fillId="0" borderId="0" xfId="0" applyFont="1"/>
    <xf numFmtId="9" fontId="14" fillId="0" borderId="0" xfId="2" applyFont="1" applyBorder="1"/>
    <xf numFmtId="49" fontId="21" fillId="3" borderId="15" xfId="21" applyNumberFormat="1" applyFont="1" applyFill="1" applyBorder="1" applyAlignment="1">
      <alignment horizontal="center" vertical="center"/>
    </xf>
    <xf numFmtId="49" fontId="20" fillId="0" borderId="15" xfId="21" applyNumberFormat="1" applyFont="1" applyBorder="1" applyAlignment="1">
      <alignment horizontal="center" vertical="center"/>
    </xf>
    <xf numFmtId="0" fontId="24" fillId="0" borderId="15" xfId="21" applyFont="1" applyBorder="1"/>
    <xf numFmtId="0" fontId="19" fillId="2" borderId="15" xfId="21" applyFont="1" applyFill="1" applyBorder="1" applyAlignment="1">
      <alignment horizontal="left"/>
    </xf>
    <xf numFmtId="0" fontId="33" fillId="0" borderId="15" xfId="18" applyFont="1" applyFill="1" applyBorder="1" applyAlignment="1">
      <alignment horizontal="left" vertical="center"/>
    </xf>
    <xf numFmtId="0" fontId="34" fillId="0" borderId="15" xfId="0" applyFont="1" applyBorder="1" applyAlignment="1">
      <alignment horizontal="left" vertical="center"/>
    </xf>
    <xf numFmtId="0" fontId="19" fillId="2" borderId="15" xfId="21" quotePrefix="1" applyFont="1" applyFill="1" applyBorder="1" applyAlignment="1">
      <alignment horizontal="left"/>
    </xf>
    <xf numFmtId="0" fontId="33" fillId="0" borderId="15" xfId="18" applyFont="1" applyFill="1" applyBorder="1" applyAlignment="1">
      <alignment horizontal="left" vertical="center" wrapText="1"/>
    </xf>
    <xf numFmtId="0" fontId="33" fillId="0" borderId="15" xfId="18" applyFont="1" applyFill="1" applyBorder="1" applyAlignment="1">
      <alignment vertical="center" wrapText="1"/>
    </xf>
    <xf numFmtId="0" fontId="38" fillId="0" borderId="0" xfId="0" applyFont="1" applyAlignment="1">
      <alignment horizontal="right"/>
    </xf>
    <xf numFmtId="171" fontId="38" fillId="0" borderId="0" xfId="0" applyNumberFormat="1" applyFont="1" applyAlignment="1">
      <alignment horizontal="left"/>
    </xf>
    <xf numFmtId="0" fontId="39" fillId="0" borderId="15" xfId="18" quotePrefix="1" applyFont="1" applyFill="1" applyBorder="1" applyAlignment="1">
      <alignment horizontal="left" vertical="center" wrapText="1"/>
    </xf>
    <xf numFmtId="0" fontId="19" fillId="2" borderId="15" xfId="21" applyFont="1" applyFill="1" applyBorder="1" applyAlignment="1">
      <alignment horizontal="left" vertical="center"/>
    </xf>
    <xf numFmtId="164" fontId="16" fillId="0" borderId="0" xfId="0" applyNumberFormat="1" applyFont="1" applyAlignment="1">
      <alignment horizontal="center"/>
    </xf>
    <xf numFmtId="0" fontId="17" fillId="0" borderId="0" xfId="0" applyFont="1" applyAlignment="1">
      <alignment horizontal="center"/>
    </xf>
    <xf numFmtId="49" fontId="17" fillId="0" borderId="0" xfId="0" applyNumberFormat="1" applyFont="1" applyAlignment="1">
      <alignment horizontal="center"/>
    </xf>
    <xf numFmtId="0" fontId="19" fillId="0" borderId="0" xfId="0" applyFont="1" applyAlignment="1">
      <alignment horizontal="center"/>
    </xf>
    <xf numFmtId="0" fontId="24" fillId="0" borderId="0" xfId="21" quotePrefix="1" applyFont="1" applyAlignment="1">
      <alignment horizontal="justify" vertical="center" wrapText="1"/>
    </xf>
    <xf numFmtId="0" fontId="24" fillId="0" borderId="0" xfId="21" applyFont="1" applyAlignment="1">
      <alignment horizontal="justify" vertical="center" wrapText="1"/>
    </xf>
    <xf numFmtId="164" fontId="16" fillId="0" borderId="0" xfId="21" applyNumberFormat="1" applyFont="1" applyAlignment="1">
      <alignment horizontal="center" vertical="center" wrapText="1"/>
    </xf>
    <xf numFmtId="169" fontId="24" fillId="0" borderId="0" xfId="19" applyNumberFormat="1" applyFont="1" applyAlignment="1">
      <alignment horizontal="left" vertical="center" wrapText="1"/>
    </xf>
    <xf numFmtId="0" fontId="24" fillId="0" borderId="0" xfId="19" applyFont="1" applyAlignment="1">
      <alignment vertical="center" wrapText="1"/>
    </xf>
    <xf numFmtId="0" fontId="20" fillId="3" borderId="2" xfId="19" applyFont="1" applyFill="1" applyBorder="1" applyAlignment="1">
      <alignment horizontal="center" vertical="center"/>
    </xf>
    <xf numFmtId="169" fontId="28" fillId="0" borderId="0" xfId="19" applyNumberFormat="1" applyFont="1" applyAlignment="1">
      <alignment horizontal="left" vertical="center" wrapText="1"/>
    </xf>
    <xf numFmtId="0" fontId="16" fillId="2" borderId="0" xfId="19" applyFont="1" applyFill="1" applyAlignment="1">
      <alignment horizontal="center" vertical="center"/>
    </xf>
    <xf numFmtId="0" fontId="16" fillId="2" borderId="4" xfId="19" applyFont="1" applyFill="1" applyBorder="1" applyAlignment="1">
      <alignment horizontal="center" vertical="center"/>
    </xf>
    <xf numFmtId="0" fontId="23" fillId="0" borderId="0" xfId="19" applyFont="1" applyAlignment="1">
      <alignment vertical="center" wrapText="1"/>
    </xf>
    <xf numFmtId="169" fontId="26" fillId="0" borderId="0" xfId="19" applyNumberFormat="1" applyFont="1" applyAlignment="1">
      <alignment horizontal="left" vertical="center" wrapText="1"/>
    </xf>
  </cellXfs>
  <cellStyles count="33">
    <cellStyle name="Euro" xfId="4" xr:uid="{00000000-0005-0000-0000-000000000000}"/>
    <cellStyle name="F2" xfId="5" xr:uid="{00000000-0005-0000-0000-000001000000}"/>
    <cellStyle name="F2 2" xfId="23" xr:uid="{00000000-0005-0000-0000-000002000000}"/>
    <cellStyle name="F3" xfId="6" xr:uid="{00000000-0005-0000-0000-000003000000}"/>
    <cellStyle name="F3 2" xfId="24" xr:uid="{00000000-0005-0000-0000-000004000000}"/>
    <cellStyle name="F4" xfId="7" xr:uid="{00000000-0005-0000-0000-000005000000}"/>
    <cellStyle name="F4 2" xfId="25" xr:uid="{00000000-0005-0000-0000-000006000000}"/>
    <cellStyle name="F5" xfId="8" xr:uid="{00000000-0005-0000-0000-000007000000}"/>
    <cellStyle name="F5 2" xfId="26" xr:uid="{00000000-0005-0000-0000-000008000000}"/>
    <cellStyle name="F6" xfId="9" xr:uid="{00000000-0005-0000-0000-000009000000}"/>
    <cellStyle name="F6 2" xfId="27" xr:uid="{00000000-0005-0000-0000-00000A000000}"/>
    <cellStyle name="F7" xfId="10" xr:uid="{00000000-0005-0000-0000-00000B000000}"/>
    <cellStyle name="F7 2" xfId="28" xr:uid="{00000000-0005-0000-0000-00000C000000}"/>
    <cellStyle name="F8" xfId="11" xr:uid="{00000000-0005-0000-0000-00000D000000}"/>
    <cellStyle name="F8 2" xfId="29" xr:uid="{00000000-0005-0000-0000-00000E000000}"/>
    <cellStyle name="Hipervínculo" xfId="18" builtinId="8"/>
    <cellStyle name="Hipervínculo 2" xfId="12" xr:uid="{00000000-0005-0000-0000-000010000000}"/>
    <cellStyle name="Moneda" xfId="1" builtinId="4"/>
    <cellStyle name="Normal" xfId="0" builtinId="0"/>
    <cellStyle name="Normal 2" xfId="13" xr:uid="{00000000-0005-0000-0000-000013000000}"/>
    <cellStyle name="Normal 2 2" xfId="21" xr:uid="{00000000-0005-0000-0000-000014000000}"/>
    <cellStyle name="Normal 3" xfId="14" xr:uid="{00000000-0005-0000-0000-000015000000}"/>
    <cellStyle name="Normal 4" xfId="19" xr:uid="{00000000-0005-0000-0000-000016000000}"/>
    <cellStyle name="Normal_Hoja1" xfId="20" xr:uid="{00000000-0005-0000-0000-000017000000}"/>
    <cellStyle name="Porcentaje" xfId="2" builtinId="5"/>
    <cellStyle name="Porcentaje 2" xfId="15" xr:uid="{00000000-0005-0000-0000-000019000000}"/>
    <cellStyle name="Porcentaje 2 2" xfId="30" xr:uid="{00000000-0005-0000-0000-00001A000000}"/>
    <cellStyle name="Porcentual 2" xfId="16" xr:uid="{00000000-0005-0000-0000-00001B000000}"/>
    <cellStyle name="Porcentual 2 2" xfId="31" xr:uid="{00000000-0005-0000-0000-00001C000000}"/>
    <cellStyle name="Porcentual 3" xfId="17" xr:uid="{00000000-0005-0000-0000-00001D000000}"/>
    <cellStyle name="Porcentual 3 2" xfId="3" xr:uid="{00000000-0005-0000-0000-00001E000000}"/>
    <cellStyle name="Porcentual 3 2 2" xfId="22" xr:uid="{00000000-0005-0000-0000-00001F000000}"/>
    <cellStyle name="Porcentual 3 3" xfId="32" xr:uid="{00000000-0005-0000-0000-000020000000}"/>
  </cellStyles>
  <dxfs count="0"/>
  <tableStyles count="0" defaultTableStyle="TableStyleMedium2" defaultPivotStyle="PivotStyleLight16"/>
  <colors>
    <mruColors>
      <color rgb="FF0000FF"/>
      <color rgb="FF242C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235323</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252755</xdr:rowOff>
    </xdr:to>
    <xdr:pic>
      <xdr:nvPicPr>
        <xdr:cNvPr id="2" name="image1.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466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0</xdr:row>
      <xdr:rowOff>1311088</xdr:rowOff>
    </xdr:to>
    <xdr:pic>
      <xdr:nvPicPr>
        <xdr:cNvPr id="2" name="image1.png">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5725"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89647</xdr:colOff>
      <xdr:row>0</xdr:row>
      <xdr:rowOff>33618</xdr:rowOff>
    </xdr:from>
    <xdr:to>
      <xdr:col>0</xdr:col>
      <xdr:colOff>1759325</xdr:colOff>
      <xdr:row>6</xdr:row>
      <xdr:rowOff>73538</xdr:rowOff>
    </xdr:to>
    <xdr:pic>
      <xdr:nvPicPr>
        <xdr:cNvPr id="2" name="image1.png">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33618"/>
          <a:ext cx="1669678" cy="1313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smolej\documentos\Excel\DEUDA\CuadrosDeuda\Deuda%20Largo%20Plazo\Cr&#233;ditos%20Multilaterales\Archivos%20viejos_Nestor\Amortizaci&#243;npor-ite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Fto__a_partir_del_impuesto4"/>
      <sheetName val="COP_FED2"/>
      <sheetName val="22_PCIAS2"/>
      <sheetName val="Tesoro_Nacional2"/>
      <sheetName val="Fondo_ATN2"/>
      <sheetName val="Coop__Eléct_2"/>
      <sheetName val="C_F_E_E_2"/>
      <sheetName val="Fto__a_partir_del_impuesto5"/>
      <sheetName val="[Alt4_Proy2002_x䕬䍘䱅䔮"/>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row r="32">
          <cell r="B32">
            <v>13536.199999999999</v>
          </cell>
          <cell r="C32">
            <v>13665.599999999999</v>
          </cell>
          <cell r="D32">
            <v>13665.599999999999</v>
          </cell>
          <cell r="E32">
            <v>13665.599999999999</v>
          </cell>
          <cell r="F32">
            <v>13665.599999999999</v>
          </cell>
          <cell r="G32">
            <v>13665.599999999999</v>
          </cell>
          <cell r="H32">
            <v>13665.599999999999</v>
          </cell>
          <cell r="I32">
            <v>13708.699999999999</v>
          </cell>
          <cell r="J32">
            <v>13665.599999999999</v>
          </cell>
          <cell r="K32">
            <v>13665.599999999999</v>
          </cell>
          <cell r="L32">
            <v>13665.599999999999</v>
          </cell>
          <cell r="M32">
            <v>13752.299999999983</v>
          </cell>
          <cell r="N32">
            <v>163987.6</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ronave-BAPRO"/>
      <sheetName val="Helicóptero-BAPRO"/>
      <sheetName val="IPV-BAPRO"/>
      <sheetName val="Astillero Rio Santiago"/>
      <sheetName val="Novación- ESEBA"/>
      <sheetName val="Vialidad-BID"/>
      <sheetName val="Corfo-BID"/>
      <sheetName val="Corfo"/>
      <sheetName val="D.Arquitectura-BID"/>
      <sheetName val="D.Hidráulica-BID"/>
      <sheetName val="AGOSBA-BID"/>
      <sheetName val="Proy.ENOHSa"/>
      <sheetName val="SPAR-BID 31-12-98"/>
      <sheetName val="SPAR-BID 31-03-99"/>
      <sheetName val="PSF-BID-BIRF"/>
      <sheetName val="PSF-BIRF-3280"/>
      <sheetName val="PSF-BID-619"/>
      <sheetName val="PSF-BIRF-3877"/>
      <sheetName val="PFM-BIRF-2920"/>
      <sheetName val="PFM-BIRF-3860"/>
      <sheetName val="PFM-BID-830 y 932"/>
      <sheetName val="PFM-conjunto"/>
      <sheetName val="PFM-BID-BIRF"/>
      <sheetName val="PFM-BID-al-31-12-97"/>
      <sheetName val="PFM-BID-al-30-6-98"/>
      <sheetName val="PFM-BID-al-30-9-98"/>
      <sheetName val="PFM-BID-al-30-11-98"/>
      <sheetName val="PFM-BID-al-31-12-98"/>
      <sheetName val="PFM-BID-al-31-03-99"/>
      <sheetName val="PFM-BID-al-30-6-99"/>
      <sheetName val="PRISE (DGE)-BID"/>
      <sheetName val="Prodymes I (DGE)-BID"/>
      <sheetName val="Prodymes III (DGE)-BID"/>
      <sheetName val="Rio Reconquista-BID"/>
      <sheetName val="Rio Reconq-BIDcalendario modifi"/>
      <sheetName val="PAREFF-BID 12-98"/>
      <sheetName val="PAREFF-BID 03-99"/>
      <sheetName val="PRESSAL-BIRF"/>
      <sheetName val="Banco Arabe Español"/>
      <sheetName val="Banco Exterior de España"/>
      <sheetName val="Ins. Centrale-MOSP"/>
      <sheetName val="ICO"/>
      <sheetName val="BOCONBA"/>
      <sheetName val="Credit Lyonnais"/>
      <sheetName val="Swift Armour-Ley 11638"/>
      <sheetName val="BHN-IPV"/>
      <sheetName val="IPV (Wilde)-BH"/>
      <sheetName val="Prov. Ministerio Prod."/>
      <sheetName val="BH-Titulización(Res 1720)"/>
      <sheetName val="Unidad Ejecutora G.B."/>
      <sheetName val="IPV_BAPRO"/>
      <sheetName val="Astillero_Rio_Santiago"/>
      <sheetName val="Novación-_ESEBA"/>
      <sheetName val="D_Arquitectura-BID"/>
      <sheetName val="D_Hidráulica-BID"/>
      <sheetName val="Proy_ENOHSa"/>
      <sheetName val="SPAR-BID_31-12-98"/>
      <sheetName val="SPAR-BID_31-03-99"/>
      <sheetName val="PFM-BID-830_y_932"/>
      <sheetName val="PRISE_(DGE)-BID"/>
      <sheetName val="Prodymes_I_(DGE)-BID"/>
      <sheetName val="Prodymes_III_(DGE)-BID"/>
      <sheetName val="Rio_Reconquista-BID"/>
      <sheetName val="Rio_Reconq-BIDcalendario_modifi"/>
      <sheetName val="PAREFF-BID_12-98"/>
      <sheetName val="PAREFF-BID_03-99"/>
      <sheetName val="Banco_Arabe_Español"/>
      <sheetName val="Banco_Exterior_de_España"/>
      <sheetName val="Ins__Centrale-MOSP"/>
      <sheetName val="Credit_Lyonnais"/>
      <sheetName val="Swift_Armour-Ley_11638"/>
      <sheetName val="IPV_(Wilde)-BH"/>
      <sheetName val="Prov__Ministerio_Prod_"/>
      <sheetName val="BH-Titulización(Res_1720)"/>
      <sheetName val="Unidad_Ejecutora_G_B_"/>
      <sheetName val="Astillero_Rio_Santiago1"/>
      <sheetName val="Novación-_ESEBA1"/>
      <sheetName val="D_Arquitectura-BID1"/>
      <sheetName val="D_Hidráulica-BID1"/>
      <sheetName val="Proy_ENOHSa1"/>
      <sheetName val="SPAR-BID_31-12-981"/>
      <sheetName val="SPAR-BID_31-03-991"/>
      <sheetName val="PFM-BID-830_y_9321"/>
      <sheetName val="PRISE_(DGE)-BID1"/>
      <sheetName val="Prodymes_I_(DGE)-BID1"/>
      <sheetName val="Prodymes_III_(DGE)-BID1"/>
      <sheetName val="Rio_Reconquista-BID1"/>
      <sheetName val="Rio_Reconq-BIDcalendario_modif1"/>
      <sheetName val="PAREFF-BID_12-981"/>
      <sheetName val="PAREFF-BID_03-991"/>
      <sheetName val="Banco_Arabe_Español1"/>
      <sheetName val="Banco_Exterior_de_España1"/>
      <sheetName val="Ins__Centrale-MOSP1"/>
      <sheetName val="Credit_Lyonnais1"/>
      <sheetName val="Swift_Armour-Ley_116381"/>
      <sheetName val="IPV_(Wilde)-BH1"/>
      <sheetName val="Prov__Ministerio_Prod_1"/>
      <sheetName val="BH-Titulización(Res_1720)1"/>
      <sheetName val="Unidad_Ejecutora_G_B_1"/>
      <sheetName val="PAREFF-Nuevo Cronog"/>
      <sheetName val="Amortizaciónpor-item"/>
      <sheetName val="#¡REF"/>
      <sheetName val=""/>
      <sheetName val="Astillero_Rio_Santiago2"/>
      <sheetName val="Novación-_ESEBA2"/>
      <sheetName val="D_Arquitectura-BID2"/>
      <sheetName val="D_Hidráulica-BID2"/>
      <sheetName val="Proy_ENOHSa2"/>
      <sheetName val="SPAR-BID_31-12-982"/>
      <sheetName val="SPAR-BID_31-03-992"/>
      <sheetName val="PFM-BID-830_y_9322"/>
      <sheetName val="PRISE_(DGE)-BID2"/>
      <sheetName val="Prodymes_I_(DGE)-BID2"/>
      <sheetName val="Prodymes_III_(DGE)-BID2"/>
      <sheetName val="Rio_Reconquista-BID2"/>
      <sheetName val="Rio_Reconq-BIDcalendario_modif2"/>
      <sheetName val="PAREFF-BID_12-982"/>
      <sheetName val="PAREFF-BID_03-992"/>
      <sheetName val="Banco_Arabe_Español2"/>
      <sheetName val="Banco_Exterior_de_España2"/>
      <sheetName val="Ins__Centrale-MOSP2"/>
      <sheetName val="Credit_Lyonnais2"/>
      <sheetName val="Swift_Armour-Ley_116382"/>
      <sheetName val="IPV_(Wilde)-BH2"/>
      <sheetName val="Prov__Ministerio_Prod_2"/>
      <sheetName val="BH-Titulización(Res_1720)2"/>
      <sheetName val="Unidad_Ejecutora_G_B_2"/>
      <sheetName val="PAREFF-Nuevo_Cron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agip.gob.ar/informacion-de-utilidad/recaudacion/recaudacion" TargetMode="External"/><Relationship Id="rId13" Type="http://schemas.openxmlformats.org/officeDocument/2006/relationships/hyperlink" Target="https://atmisiones.gob.ar/documentacion-y-estadisticas/" TargetMode="External"/><Relationship Id="rId18" Type="http://schemas.openxmlformats.org/officeDocument/2006/relationships/hyperlink" Target="https://economiaygestionpublica.cba.gov.ar/publicacion/ingresos-tributarios/" TargetMode="External"/><Relationship Id="rId3" Type="http://schemas.openxmlformats.org/officeDocument/2006/relationships/hyperlink" Target="https://www.dgrsalta.gov.ar/Inicio/OtrasGestiones/Estadisticas/2025" TargetMode="External"/><Relationship Id="rId21" Type="http://schemas.openxmlformats.org/officeDocument/2006/relationships/printerSettings" Target="../printerSettings/printerSettings7.bin"/><Relationship Id="rId7" Type="http://schemas.openxmlformats.org/officeDocument/2006/relationships/hyperlink" Target="https://www.dgiplarioja.gob.ar/frontend51/page?1,principal,LR-Informes-de-Recaudacion,O,es,0," TargetMode="External"/><Relationship Id="rId12" Type="http://schemas.openxmlformats.org/officeDocument/2006/relationships/hyperlink" Target="https://www.rentasjujuy.gob.ar/recaudacion/" TargetMode="External"/><Relationship Id="rId17" Type="http://schemas.openxmlformats.org/officeDocument/2006/relationships/hyperlink" Target="https://portal.entrerios.gov.ar/haciendayfinanzas/analisisfiscal/ps/ingresospublicos/6792" TargetMode="External"/><Relationship Id="rId2" Type="http://schemas.openxmlformats.org/officeDocument/2006/relationships/hyperlink" Target="https://agencia.rionegro.gov.ar/?contID=60047" TargetMode="External"/><Relationship Id="rId16" Type="http://schemas.openxmlformats.org/officeDocument/2006/relationships/hyperlink" Target="https://www.aref.gob.ar/estadistica-tributaria/" TargetMode="External"/><Relationship Id="rId20" Type="http://schemas.openxmlformats.org/officeDocument/2006/relationships/hyperlink" Target="https://www.santafe.gov.ar/index.php/web/content/view/full/255136/(subtema)/116436" TargetMode="External"/><Relationship Id="rId1" Type="http://schemas.openxmlformats.org/officeDocument/2006/relationships/hyperlink" Target="https://www.atm.mendoza.gov.ar/portalatm/zoneBottom/datosInteres/recaudacion/recaudacion_por_impuesto_anual.jsp" TargetMode="External"/><Relationship Id="rId6" Type="http://schemas.openxmlformats.org/officeDocument/2006/relationships/hyperlink" Target="https://www.formosa.gob.ar/atp/recaudaciones" TargetMode="External"/><Relationship Id="rId11" Type="http://schemas.openxmlformats.org/officeDocument/2006/relationships/hyperlink" Target="https://www.gba.gob.ar/economia/direccion_provincial_de_politica_tributaria/recaudacion_provincial" TargetMode="External"/><Relationship Id="rId5" Type="http://schemas.openxmlformats.org/officeDocument/2006/relationships/hyperlink" Target="https://www.asip.gob.ar/recaudacion/" TargetMode="External"/><Relationship Id="rId15" Type="http://schemas.openxmlformats.org/officeDocument/2006/relationships/hyperlink" Target="https://dpip.sanluis.gov.ar/informes/" TargetMode="External"/><Relationship Id="rId10" Type="http://schemas.openxmlformats.org/officeDocument/2006/relationships/hyperlink" Target="https://recaudacionrentas.sanjuan.gob.ar/" TargetMode="External"/><Relationship Id="rId19" Type="http://schemas.openxmlformats.org/officeDocument/2006/relationships/hyperlink" Target="https://contaduriageneral.lapampa.gob.ar/ejecucion-presupuestaria/ano-2025/informe-de-recursos-mensual" TargetMode="External"/><Relationship Id="rId4" Type="http://schemas.openxmlformats.org/officeDocument/2006/relationships/hyperlink" Target="http://www.rentastucuman.gob.ar/nomina/rentastuc2/nwdatos_interes/recaudacion.php" TargetMode="External"/><Relationship Id="rId9" Type="http://schemas.openxmlformats.org/officeDocument/2006/relationships/hyperlink" Target="https://atp.chaco.gob.ar/recaudacion" TargetMode="External"/><Relationship Id="rId14" Type="http://schemas.openxmlformats.org/officeDocument/2006/relationships/hyperlink" Target="https://dprneuquen.gob.ar/recaudacion-mensual/" TargetMode="External"/><Relationship Id="rId2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1:Q48"/>
  <sheetViews>
    <sheetView showGridLines="0" tabSelected="1" zoomScale="85" zoomScaleNormal="85" workbookViewId="0">
      <pane xSplit="2" ySplit="7" topLeftCell="C8" activePane="bottomRight" state="frozen"/>
      <selection activeCell="B1" sqref="B1:B1048576"/>
      <selection pane="topRight" activeCell="B1" sqref="B1:B1048576"/>
      <selection pane="bottomLeft" activeCell="B1" sqref="B1:B1048576"/>
      <selection pane="bottomRight" activeCell="U32" sqref="U32"/>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7" t="s">
        <v>92</v>
      </c>
      <c r="O1" s="98">
        <v>46279</v>
      </c>
    </row>
    <row r="2" spans="2:17" ht="21" customHeight="1" x14ac:dyDescent="0.3">
      <c r="B2" s="101" t="s">
        <v>0</v>
      </c>
      <c r="C2" s="101"/>
      <c r="D2" s="101"/>
      <c r="E2" s="101"/>
      <c r="F2" s="101"/>
      <c r="G2" s="101"/>
      <c r="H2" s="101"/>
      <c r="I2" s="101"/>
      <c r="J2" s="101"/>
      <c r="K2" s="101"/>
      <c r="L2" s="101"/>
      <c r="M2" s="101"/>
      <c r="N2" s="101"/>
      <c r="O2" s="101"/>
    </row>
    <row r="3" spans="2:17" ht="21" customHeight="1" x14ac:dyDescent="0.3">
      <c r="B3" s="102">
        <v>2025</v>
      </c>
      <c r="C3" s="103"/>
      <c r="D3" s="103"/>
      <c r="E3" s="103"/>
      <c r="F3" s="103"/>
      <c r="G3" s="103"/>
      <c r="H3" s="103"/>
      <c r="I3" s="103"/>
      <c r="J3" s="103"/>
      <c r="K3" s="103"/>
      <c r="L3" s="103"/>
      <c r="M3" s="103"/>
      <c r="N3" s="103"/>
      <c r="O3" s="103"/>
    </row>
    <row r="4" spans="2:17" ht="21" customHeight="1" x14ac:dyDescent="0.25">
      <c r="B4" s="104" t="s">
        <v>6</v>
      </c>
      <c r="C4" s="104"/>
      <c r="D4" s="104"/>
      <c r="E4" s="104"/>
      <c r="F4" s="104"/>
      <c r="G4" s="104"/>
      <c r="H4" s="104"/>
      <c r="I4" s="104"/>
      <c r="J4" s="104"/>
      <c r="K4" s="104"/>
      <c r="L4" s="104"/>
      <c r="M4" s="104"/>
      <c r="N4" s="104"/>
      <c r="O4" s="104"/>
    </row>
    <row r="5" spans="2:17" ht="21" customHeight="1" x14ac:dyDescent="0.25">
      <c r="B5" s="28"/>
      <c r="C5" s="29"/>
      <c r="D5" s="30"/>
      <c r="E5" s="30"/>
      <c r="F5" s="30"/>
      <c r="G5" s="30"/>
      <c r="H5" s="31"/>
      <c r="I5" s="30"/>
      <c r="J5" s="28"/>
      <c r="K5" s="28"/>
      <c r="L5" s="28"/>
      <c r="M5" s="28"/>
      <c r="N5" s="28"/>
      <c r="O5" s="28"/>
    </row>
    <row r="6" spans="2:17" ht="30" customHeight="1" x14ac:dyDescent="0.2">
      <c r="B6" s="62" t="s">
        <v>32</v>
      </c>
      <c r="C6" s="62" t="s">
        <v>73</v>
      </c>
      <c r="D6" s="62" t="s">
        <v>72</v>
      </c>
      <c r="E6" s="62" t="s">
        <v>74</v>
      </c>
      <c r="F6" s="62" t="s">
        <v>75</v>
      </c>
      <c r="G6" s="62" t="s">
        <v>76</v>
      </c>
      <c r="H6" s="62" t="s">
        <v>77</v>
      </c>
      <c r="I6" s="62" t="s">
        <v>78</v>
      </c>
      <c r="J6" s="62" t="s">
        <v>79</v>
      </c>
      <c r="K6" s="62" t="s">
        <v>80</v>
      </c>
      <c r="L6" s="62" t="s">
        <v>81</v>
      </c>
      <c r="M6" s="62" t="s">
        <v>82</v>
      </c>
      <c r="N6" s="62" t="s">
        <v>83</v>
      </c>
      <c r="O6" s="62" t="s">
        <v>84</v>
      </c>
    </row>
    <row r="7" spans="2:17" s="8" customFormat="1" ht="3.75" customHeight="1" x14ac:dyDescent="0.7">
      <c r="B7"/>
      <c r="C7"/>
      <c r="D7"/>
      <c r="E7"/>
      <c r="F7"/>
      <c r="G7"/>
      <c r="H7"/>
      <c r="I7"/>
      <c r="J7"/>
      <c r="K7"/>
      <c r="L7"/>
      <c r="M7"/>
      <c r="N7"/>
      <c r="O7"/>
    </row>
    <row r="8" spans="2:17" s="14" customFormat="1" ht="15.75" customHeight="1" x14ac:dyDescent="0.25">
      <c r="B8" s="58" t="s">
        <v>89</v>
      </c>
      <c r="C8" s="63">
        <v>594667.9</v>
      </c>
      <c r="D8" s="63">
        <v>580377.5</v>
      </c>
      <c r="E8" s="63">
        <v>541400</v>
      </c>
      <c r="F8" s="63">
        <v>574044</v>
      </c>
      <c r="G8" s="63">
        <v>630408.4</v>
      </c>
      <c r="H8" s="63">
        <v>608896.4</v>
      </c>
      <c r="I8" s="63">
        <v>620015.6</v>
      </c>
      <c r="J8" s="63">
        <v>689753</v>
      </c>
      <c r="K8" s="63">
        <v>710053.2</v>
      </c>
      <c r="L8" s="63">
        <v>750756.1</v>
      </c>
      <c r="M8" s="63">
        <v>767058.3</v>
      </c>
      <c r="N8" s="63">
        <v>698779.1</v>
      </c>
      <c r="O8" s="64">
        <f>SUM(C8:N8)</f>
        <v>7766209.4999999991</v>
      </c>
      <c r="P8" s="12"/>
      <c r="Q8" s="13"/>
    </row>
    <row r="9" spans="2:17" s="11" customFormat="1" ht="15.75" customHeight="1" x14ac:dyDescent="0.25">
      <c r="B9" s="58" t="s">
        <v>41</v>
      </c>
      <c r="C9" s="63">
        <v>801028.67715117859</v>
      </c>
      <c r="D9" s="63">
        <v>766738.37267896091</v>
      </c>
      <c r="E9" s="63">
        <v>730649.20040879992</v>
      </c>
      <c r="F9" s="63">
        <v>829273.77245297004</v>
      </c>
      <c r="G9" s="63">
        <v>872228.18980384036</v>
      </c>
      <c r="H9" s="63">
        <v>860880.73551355046</v>
      </c>
      <c r="I9" s="63">
        <v>907341.98639136017</v>
      </c>
      <c r="J9" s="63">
        <v>940605.70219512819</v>
      </c>
      <c r="K9" s="63">
        <v>950550.07445641002</v>
      </c>
      <c r="L9" s="63">
        <v>992273.79390946869</v>
      </c>
      <c r="M9" s="63">
        <v>948570.50418139657</v>
      </c>
      <c r="N9" s="63">
        <v>1031334.0161565744</v>
      </c>
      <c r="O9" s="64">
        <f>SUM(C9:N9)</f>
        <v>10631475.025299637</v>
      </c>
      <c r="P9" s="9"/>
      <c r="Q9" s="10"/>
    </row>
    <row r="10" spans="2:17" s="14" customFormat="1" ht="15.75" customHeight="1" x14ac:dyDescent="0.25">
      <c r="B10" s="58" t="s">
        <v>42</v>
      </c>
      <c r="C10" s="63">
        <v>16993.487715889998</v>
      </c>
      <c r="D10" s="63">
        <v>14805.80208836</v>
      </c>
      <c r="E10" s="63">
        <v>13729.7181229</v>
      </c>
      <c r="F10" s="63">
        <v>14536.51986393</v>
      </c>
      <c r="G10" s="63">
        <v>16392.718457020001</v>
      </c>
      <c r="H10" s="63">
        <v>16548.906689480002</v>
      </c>
      <c r="I10" s="63">
        <v>16806.699577250001</v>
      </c>
      <c r="J10" s="63">
        <v>16999.968538410001</v>
      </c>
      <c r="K10" s="63">
        <v>18224.4077693</v>
      </c>
      <c r="L10" s="63">
        <v>19430.392361130002</v>
      </c>
      <c r="M10" s="63">
        <v>18632.347746979998</v>
      </c>
      <c r="N10" s="63">
        <v>17712.050580390001</v>
      </c>
      <c r="O10" s="64">
        <f t="shared" ref="O10:O31" si="0">SUM(C10:N10)</f>
        <v>200813.01951104004</v>
      </c>
      <c r="P10" s="12"/>
      <c r="Q10" s="13"/>
    </row>
    <row r="11" spans="2:17" s="14" customFormat="1" ht="15.75" customHeight="1" x14ac:dyDescent="0.25">
      <c r="B11" s="58" t="s">
        <v>43</v>
      </c>
      <c r="C11" s="63">
        <v>190808.17330600001</v>
      </c>
      <c r="D11" s="63">
        <v>190422.94435599999</v>
      </c>
      <c r="E11" s="63">
        <v>178062.64542571999</v>
      </c>
      <c r="F11" s="63">
        <v>192924.05916800001</v>
      </c>
      <c r="G11" s="63">
        <v>213967.75249000001</v>
      </c>
      <c r="H11" s="63">
        <v>222571.25661000001</v>
      </c>
      <c r="I11" s="63">
        <v>238021.17470500001</v>
      </c>
      <c r="J11" s="63">
        <v>249001.88707600001</v>
      </c>
      <c r="K11" s="63">
        <v>235040.89456099999</v>
      </c>
      <c r="L11" s="63">
        <v>241347.137644</v>
      </c>
      <c r="M11" s="63">
        <v>240638.65602299999</v>
      </c>
      <c r="N11" s="63">
        <v>272678.17761100002</v>
      </c>
      <c r="O11" s="64">
        <f t="shared" si="0"/>
        <v>2665484.7589757196</v>
      </c>
      <c r="P11" s="12"/>
      <c r="Q11" s="13"/>
    </row>
    <row r="12" spans="2:17" s="14" customFormat="1" ht="15.75" customHeight="1" x14ac:dyDescent="0.25">
      <c r="B12" s="58" t="s">
        <v>44</v>
      </c>
      <c r="C12" s="63">
        <v>24616.07</v>
      </c>
      <c r="D12" s="63">
        <v>24407</v>
      </c>
      <c r="E12" s="63">
        <v>23487.05</v>
      </c>
      <c r="F12" s="63">
        <v>24338.75</v>
      </c>
      <c r="G12" s="63">
        <v>26424.023217182999</v>
      </c>
      <c r="H12" s="63">
        <v>25520.33</v>
      </c>
      <c r="I12" s="63">
        <v>26235.9</v>
      </c>
      <c r="J12" s="63">
        <v>28740.940730380004</v>
      </c>
      <c r="K12" s="63">
        <v>28345.849037230004</v>
      </c>
      <c r="L12" s="63">
        <v>27963.350345420004</v>
      </c>
      <c r="M12" s="63">
        <v>27718.065527080002</v>
      </c>
      <c r="N12" s="63">
        <v>28412.88813626</v>
      </c>
      <c r="O12" s="64">
        <f t="shared" si="0"/>
        <v>316210.21699355298</v>
      </c>
      <c r="P12" s="12"/>
      <c r="Q12" s="13"/>
    </row>
    <row r="13" spans="2:17" s="14" customFormat="1" ht="15.75" customHeight="1" x14ac:dyDescent="0.25">
      <c r="B13" s="58" t="s">
        <v>45</v>
      </c>
      <c r="C13" s="63">
        <v>25616.409</v>
      </c>
      <c r="D13" s="63">
        <v>24788.697</v>
      </c>
      <c r="E13" s="63">
        <v>23561.911</v>
      </c>
      <c r="F13" s="63">
        <v>25194.755000000001</v>
      </c>
      <c r="G13" s="63">
        <v>27534.793885539999</v>
      </c>
      <c r="H13" s="63">
        <v>27255.335711720003</v>
      </c>
      <c r="I13" s="63">
        <v>27201.764010169998</v>
      </c>
      <c r="J13" s="63">
        <v>29260.89381161</v>
      </c>
      <c r="K13" s="63">
        <v>28388.43716904</v>
      </c>
      <c r="L13" s="63">
        <v>28379.415693999999</v>
      </c>
      <c r="M13" s="63">
        <v>27573.179623939999</v>
      </c>
      <c r="N13" s="63">
        <v>30009.01768759</v>
      </c>
      <c r="O13" s="64">
        <f t="shared" si="0"/>
        <v>324764.60959361005</v>
      </c>
      <c r="P13" s="12"/>
      <c r="Q13" s="13"/>
    </row>
    <row r="14" spans="2:17" s="14" customFormat="1" ht="15.75" customHeight="1" x14ac:dyDescent="0.25">
      <c r="B14" s="59" t="s">
        <v>87</v>
      </c>
      <c r="C14" s="63">
        <v>36468.308512300006</v>
      </c>
      <c r="D14" s="63">
        <v>36651.06149598</v>
      </c>
      <c r="E14" s="63">
        <v>35580.900099730003</v>
      </c>
      <c r="F14" s="63">
        <v>36487.894352349998</v>
      </c>
      <c r="G14" s="63">
        <v>38131.021076019999</v>
      </c>
      <c r="H14" s="63">
        <v>38685.89489358</v>
      </c>
      <c r="I14" s="63">
        <v>43623.726453919997</v>
      </c>
      <c r="J14" s="63">
        <v>43660.757415009997</v>
      </c>
      <c r="K14" s="63">
        <v>43209.157031839997</v>
      </c>
      <c r="L14" s="63">
        <v>48238.211114660007</v>
      </c>
      <c r="M14" s="63">
        <v>41912.675763380001</v>
      </c>
      <c r="N14" s="63">
        <v>47152.471213639998</v>
      </c>
      <c r="O14" s="64">
        <f t="shared" si="0"/>
        <v>489802.07942241005</v>
      </c>
      <c r="P14" s="12"/>
      <c r="Q14" s="13"/>
    </row>
    <row r="15" spans="2:17" s="14" customFormat="1" ht="15.75" customHeight="1" x14ac:dyDescent="0.25">
      <c r="B15" s="58" t="s">
        <v>47</v>
      </c>
      <c r="C15" s="63">
        <v>50715.334266999998</v>
      </c>
      <c r="D15" s="63">
        <v>48686.261837999999</v>
      </c>
      <c r="E15" s="63">
        <v>44861.791383000003</v>
      </c>
      <c r="F15" s="63">
        <v>48699.626320000003</v>
      </c>
      <c r="G15" s="63">
        <v>54555.992534999998</v>
      </c>
      <c r="H15" s="63">
        <v>55341.072224000003</v>
      </c>
      <c r="I15" s="63">
        <v>57293.054950999998</v>
      </c>
      <c r="J15" s="63">
        <v>59822.863052000001</v>
      </c>
      <c r="K15" s="63">
        <v>62267.182632999997</v>
      </c>
      <c r="L15" s="63">
        <v>65045.397754999998</v>
      </c>
      <c r="M15" s="63">
        <v>61797.567007999998</v>
      </c>
      <c r="N15" s="63">
        <v>65665.065195999996</v>
      </c>
      <c r="O15" s="64">
        <f t="shared" si="0"/>
        <v>674751.2091620001</v>
      </c>
      <c r="P15" s="12"/>
      <c r="Q15" s="13"/>
    </row>
    <row r="16" spans="2:17" s="14" customFormat="1" ht="15.75" customHeight="1" x14ac:dyDescent="0.25">
      <c r="B16" s="58" t="s">
        <v>48</v>
      </c>
      <c r="C16" s="63">
        <v>10264.88118796</v>
      </c>
      <c r="D16" s="63">
        <v>10987.34537635</v>
      </c>
      <c r="E16" s="63">
        <v>10715.000903579999</v>
      </c>
      <c r="F16" s="63">
        <v>11226.096371559999</v>
      </c>
      <c r="G16" s="63">
        <v>11608.63151589</v>
      </c>
      <c r="H16" s="63">
        <v>11665.62581874</v>
      </c>
      <c r="I16" s="63">
        <v>11919.612569819999</v>
      </c>
      <c r="J16" s="63">
        <v>13078.190109339999</v>
      </c>
      <c r="K16" s="63">
        <v>12538.424255</v>
      </c>
      <c r="L16" s="63">
        <v>13349.29201655</v>
      </c>
      <c r="M16" s="63">
        <v>12370.262576499999</v>
      </c>
      <c r="N16" s="63">
        <v>13060.154998690001</v>
      </c>
      <c r="O16" s="64">
        <f t="shared" si="0"/>
        <v>142783.51769998</v>
      </c>
      <c r="P16" s="12"/>
      <c r="Q16" s="13"/>
    </row>
    <row r="17" spans="2:17" s="14" customFormat="1" ht="15.75" customHeight="1" x14ac:dyDescent="0.25">
      <c r="B17" s="58" t="s">
        <v>49</v>
      </c>
      <c r="C17" s="63">
        <v>18620.764863</v>
      </c>
      <c r="D17" s="63">
        <v>19048.815895</v>
      </c>
      <c r="E17" s="63">
        <v>17933.675921999999</v>
      </c>
      <c r="F17" s="63">
        <v>18481.353449999999</v>
      </c>
      <c r="G17" s="63">
        <v>20357.350437000001</v>
      </c>
      <c r="H17" s="63">
        <v>19949.354936</v>
      </c>
      <c r="I17" s="63">
        <v>21171.656795999999</v>
      </c>
      <c r="J17" s="63">
        <v>22537.394104999999</v>
      </c>
      <c r="K17" s="63">
        <v>22109.307796000001</v>
      </c>
      <c r="L17" s="63">
        <v>23794.702735999999</v>
      </c>
      <c r="M17" s="63">
        <v>22434.459333999999</v>
      </c>
      <c r="N17" s="63">
        <v>23710.099857000001</v>
      </c>
      <c r="O17" s="64">
        <f t="shared" si="0"/>
        <v>250148.93612699996</v>
      </c>
      <c r="P17" s="12"/>
      <c r="Q17" s="13"/>
    </row>
    <row r="18" spans="2:17" s="11" customFormat="1" ht="15.75" customHeight="1" x14ac:dyDescent="0.25">
      <c r="B18" s="58" t="s">
        <v>50</v>
      </c>
      <c r="C18" s="63">
        <v>26345.25955033</v>
      </c>
      <c r="D18" s="63">
        <v>23981.62472349</v>
      </c>
      <c r="E18" s="63">
        <v>23087.402194089998</v>
      </c>
      <c r="F18" s="63">
        <v>22587.138921199999</v>
      </c>
      <c r="G18" s="63">
        <v>25031.749897469999</v>
      </c>
      <c r="H18" s="63">
        <v>29255.265028900001</v>
      </c>
      <c r="I18" s="63">
        <v>28885.15174791</v>
      </c>
      <c r="J18" s="63">
        <v>32585.537837970001</v>
      </c>
      <c r="K18" s="63">
        <v>32271.15468136</v>
      </c>
      <c r="L18" s="63">
        <v>32146.063157929999</v>
      </c>
      <c r="M18" s="63">
        <v>30298.76221497</v>
      </c>
      <c r="N18" s="63">
        <v>38333.90102107</v>
      </c>
      <c r="O18" s="64">
        <f t="shared" si="0"/>
        <v>344809.01097669004</v>
      </c>
      <c r="P18" s="9"/>
      <c r="Q18" s="10"/>
    </row>
    <row r="19" spans="2:17" s="14" customFormat="1" ht="15.75" customHeight="1" x14ac:dyDescent="0.25">
      <c r="B19" s="58" t="s">
        <v>51</v>
      </c>
      <c r="C19" s="63">
        <v>11304.257542679999</v>
      </c>
      <c r="D19" s="63">
        <v>8600.5973356499999</v>
      </c>
      <c r="E19" s="63">
        <v>9115.0688262500007</v>
      </c>
      <c r="F19" s="63">
        <v>9759.3356575499984</v>
      </c>
      <c r="G19" s="63">
        <v>9549.2382892500009</v>
      </c>
      <c r="H19" s="63">
        <v>10325.337127569999</v>
      </c>
      <c r="I19" s="63">
        <v>10961.803478100001</v>
      </c>
      <c r="J19" s="63">
        <v>11502.076845879999</v>
      </c>
      <c r="K19" s="63">
        <v>11769.241605810001</v>
      </c>
      <c r="L19" s="63">
        <v>10888.69300866</v>
      </c>
      <c r="M19" s="63">
        <v>10848.574544749999</v>
      </c>
      <c r="N19" s="63">
        <v>10925.138708280001</v>
      </c>
      <c r="O19" s="64">
        <f t="shared" si="0"/>
        <v>125549.36297043001</v>
      </c>
      <c r="P19" s="12"/>
      <c r="Q19" s="13"/>
    </row>
    <row r="20" spans="2:17" s="14" customFormat="1" ht="15.75" customHeight="1" x14ac:dyDescent="0.25">
      <c r="B20" s="58" t="s">
        <v>52</v>
      </c>
      <c r="C20" s="63">
        <v>83128.051028000002</v>
      </c>
      <c r="D20" s="63">
        <v>79687.228426000001</v>
      </c>
      <c r="E20" s="63">
        <v>77140.913576999999</v>
      </c>
      <c r="F20" s="63">
        <v>81188.031657</v>
      </c>
      <c r="G20" s="63">
        <v>90317.923895</v>
      </c>
      <c r="H20" s="63">
        <v>90551.713476000004</v>
      </c>
      <c r="I20" s="63">
        <v>93160.232761000007</v>
      </c>
      <c r="J20" s="63">
        <v>100530.797467</v>
      </c>
      <c r="K20" s="63">
        <v>99069.175831999994</v>
      </c>
      <c r="L20" s="63">
        <v>103667.38226699999</v>
      </c>
      <c r="M20" s="63">
        <v>106688.390075</v>
      </c>
      <c r="N20" s="63">
        <v>102452.583799</v>
      </c>
      <c r="O20" s="64">
        <f t="shared" si="0"/>
        <v>1107582.42426</v>
      </c>
      <c r="P20" s="12"/>
      <c r="Q20" s="13"/>
    </row>
    <row r="21" spans="2:17" s="14" customFormat="1" ht="15.75" customHeight="1" x14ac:dyDescent="0.25">
      <c r="B21" s="58" t="s">
        <v>53</v>
      </c>
      <c r="C21" s="63">
        <v>85174.032692840003</v>
      </c>
      <c r="D21" s="63">
        <v>75608.574585490001</v>
      </c>
      <c r="E21" s="63">
        <v>68283.797905429994</v>
      </c>
      <c r="F21" s="63">
        <v>73543.678950999994</v>
      </c>
      <c r="G21" s="63">
        <v>80670.753984059993</v>
      </c>
      <c r="H21" s="63">
        <v>79488.834002770003</v>
      </c>
      <c r="I21" s="63">
        <v>76436.658105969997</v>
      </c>
      <c r="J21" s="63">
        <v>79561.905492360005</v>
      </c>
      <c r="K21" s="63">
        <v>75113.728197259989</v>
      </c>
      <c r="L21" s="63">
        <v>81640.4356616</v>
      </c>
      <c r="M21" s="63">
        <v>82641.172338250006</v>
      </c>
      <c r="N21" s="63">
        <v>81062.518205429995</v>
      </c>
      <c r="O21" s="64">
        <f>SUM(C21:N21)</f>
        <v>939226.09012245992</v>
      </c>
      <c r="P21" s="15"/>
      <c r="Q21" s="13"/>
    </row>
    <row r="22" spans="2:17" s="14" customFormat="1" ht="15.75" customHeight="1" x14ac:dyDescent="0.25">
      <c r="B22" s="58" t="s">
        <v>54</v>
      </c>
      <c r="C22" s="63">
        <v>117106.98014866</v>
      </c>
      <c r="D22" s="63">
        <v>110218.60264370999</v>
      </c>
      <c r="E22" s="63">
        <v>105935.21066003</v>
      </c>
      <c r="F22" s="63">
        <v>113540.72409124</v>
      </c>
      <c r="G22" s="63">
        <v>121597.71244882001</v>
      </c>
      <c r="H22" s="63">
        <v>131753.91140561001</v>
      </c>
      <c r="I22" s="63">
        <v>139954.08660872001</v>
      </c>
      <c r="J22" s="63">
        <v>147723.62772757001</v>
      </c>
      <c r="K22" s="63">
        <v>155304.90222995999</v>
      </c>
      <c r="L22" s="63">
        <v>152138.58942410999</v>
      </c>
      <c r="M22" s="63">
        <v>139926.85164998</v>
      </c>
      <c r="N22" s="63">
        <v>152466.46374924999</v>
      </c>
      <c r="O22" s="64">
        <f t="shared" si="0"/>
        <v>1587667.66278766</v>
      </c>
      <c r="P22" s="15"/>
      <c r="Q22" s="13"/>
    </row>
    <row r="23" spans="2:17" s="14" customFormat="1" ht="15.75" customHeight="1" x14ac:dyDescent="0.25">
      <c r="B23" s="58" t="s">
        <v>55</v>
      </c>
      <c r="C23" s="63">
        <v>39808.803480369999</v>
      </c>
      <c r="D23" s="63">
        <v>40069.42230423</v>
      </c>
      <c r="E23" s="63">
        <v>35714.447589739997</v>
      </c>
      <c r="F23" s="63">
        <v>38401.696732370001</v>
      </c>
      <c r="G23" s="63">
        <v>46876.464785470002</v>
      </c>
      <c r="H23" s="63">
        <v>43645.603990000003</v>
      </c>
      <c r="I23" s="63">
        <v>46264.362498620001</v>
      </c>
      <c r="J23" s="63">
        <v>51323.641606060002</v>
      </c>
      <c r="K23" s="63">
        <v>50651.779245489997</v>
      </c>
      <c r="L23" s="63">
        <v>49450.996587070003</v>
      </c>
      <c r="M23" s="63">
        <v>48603.664779059996</v>
      </c>
      <c r="N23" s="63">
        <v>54329.136775289997</v>
      </c>
      <c r="O23" s="64">
        <f t="shared" si="0"/>
        <v>545140.02037376992</v>
      </c>
      <c r="P23" s="15"/>
      <c r="Q23" s="13"/>
    </row>
    <row r="24" spans="2:17" s="14" customFormat="1" ht="15.75" customHeight="1" x14ac:dyDescent="0.25">
      <c r="B24" s="58" t="s">
        <v>56</v>
      </c>
      <c r="C24" s="63">
        <v>53054.096683739997</v>
      </c>
      <c r="D24" s="63">
        <v>50339.772849519999</v>
      </c>
      <c r="E24" s="63">
        <v>49797.413483659999</v>
      </c>
      <c r="F24" s="63">
        <v>51877.167133390001</v>
      </c>
      <c r="G24" s="63">
        <v>55718.16165622</v>
      </c>
      <c r="H24" s="63">
        <v>53664.590552660004</v>
      </c>
      <c r="I24" s="63">
        <v>55940.532820139997</v>
      </c>
      <c r="J24" s="63">
        <v>65839.761323769999</v>
      </c>
      <c r="K24" s="63">
        <v>61798.35138896</v>
      </c>
      <c r="L24" s="63">
        <v>63794.817567040001</v>
      </c>
      <c r="M24" s="63">
        <v>64668.430241380003</v>
      </c>
      <c r="N24" s="63">
        <v>62394.846681260002</v>
      </c>
      <c r="O24" s="64">
        <f t="shared" si="0"/>
        <v>688887.94238174008</v>
      </c>
      <c r="P24" s="15"/>
      <c r="Q24" s="13"/>
    </row>
    <row r="25" spans="2:17" s="14" customFormat="1" ht="15.75" customHeight="1" x14ac:dyDescent="0.25">
      <c r="B25" s="58" t="s">
        <v>57</v>
      </c>
      <c r="C25" s="63">
        <v>18108.390255369999</v>
      </c>
      <c r="D25" s="63">
        <v>17292.783900999999</v>
      </c>
      <c r="E25" s="63">
        <v>17285.711314</v>
      </c>
      <c r="F25" s="63">
        <v>18699.215508000001</v>
      </c>
      <c r="G25" s="63">
        <v>20087.512626</v>
      </c>
      <c r="H25" s="63">
        <v>20394.017094999999</v>
      </c>
      <c r="I25" s="63">
        <v>20251.113002999999</v>
      </c>
      <c r="J25" s="63">
        <v>21439.294398999999</v>
      </c>
      <c r="K25" s="63">
        <v>21744.626745000001</v>
      </c>
      <c r="L25" s="63">
        <v>22756.998707999999</v>
      </c>
      <c r="M25" s="63">
        <v>22836.090055000001</v>
      </c>
      <c r="N25" s="63">
        <v>23956.205193999998</v>
      </c>
      <c r="O25" s="64">
        <f t="shared" si="0"/>
        <v>244851.95880337001</v>
      </c>
      <c r="P25" s="15"/>
      <c r="Q25" s="13"/>
    </row>
    <row r="26" spans="2:17" s="14" customFormat="1" ht="15.75" customHeight="1" x14ac:dyDescent="0.25">
      <c r="B26" s="58" t="s">
        <v>58</v>
      </c>
      <c r="C26" s="63">
        <v>21362.31671345</v>
      </c>
      <c r="D26" s="63">
        <v>19962.099942929999</v>
      </c>
      <c r="E26" s="63">
        <v>19098.953334419999</v>
      </c>
      <c r="F26" s="63">
        <v>19746.578335300001</v>
      </c>
      <c r="G26" s="63">
        <v>21988.441541439999</v>
      </c>
      <c r="H26" s="63">
        <v>21966.022752410001</v>
      </c>
      <c r="I26" s="63">
        <v>23642.708071140001</v>
      </c>
      <c r="J26" s="63">
        <v>24554.404807579998</v>
      </c>
      <c r="K26" s="63">
        <v>23115.56271056</v>
      </c>
      <c r="L26" s="63">
        <v>23545.54731736</v>
      </c>
      <c r="M26" s="63">
        <v>24911.470320830002</v>
      </c>
      <c r="N26" s="63">
        <v>25110.653839999999</v>
      </c>
      <c r="O26" s="64">
        <f t="shared" si="0"/>
        <v>269004.75968741998</v>
      </c>
      <c r="P26" s="15"/>
      <c r="Q26" s="13"/>
    </row>
    <row r="27" spans="2:17" s="14" customFormat="1" ht="15.75" customHeight="1" x14ac:dyDescent="0.25">
      <c r="B27" s="58" t="s">
        <v>59</v>
      </c>
      <c r="C27" s="63">
        <v>29402.171919389999</v>
      </c>
      <c r="D27" s="63">
        <v>27070.330888609999</v>
      </c>
      <c r="E27" s="63">
        <v>26074.069074390001</v>
      </c>
      <c r="F27" s="63">
        <v>26411.929123739999</v>
      </c>
      <c r="G27" s="63">
        <v>28665.678546160001</v>
      </c>
      <c r="H27" s="63">
        <v>26534.82177907</v>
      </c>
      <c r="I27" s="63">
        <v>27525.765258259999</v>
      </c>
      <c r="J27" s="63">
        <v>28314.540935770001</v>
      </c>
      <c r="K27" s="63">
        <v>27354.579037079999</v>
      </c>
      <c r="L27" s="63">
        <v>28557.53640778</v>
      </c>
      <c r="M27" s="63">
        <v>29441.094481079999</v>
      </c>
      <c r="N27" s="63">
        <v>31477.381649039999</v>
      </c>
      <c r="O27" s="64">
        <f t="shared" si="0"/>
        <v>336829.89910037001</v>
      </c>
      <c r="P27" s="15"/>
      <c r="Q27" s="13"/>
    </row>
    <row r="28" spans="2:17" s="14" customFormat="1" ht="15.75" customHeight="1" x14ac:dyDescent="0.25">
      <c r="B28" s="58" t="s">
        <v>88</v>
      </c>
      <c r="C28" s="63">
        <v>177790.28221942001</v>
      </c>
      <c r="D28" s="63">
        <v>182533.40920957</v>
      </c>
      <c r="E28" s="63">
        <v>160066.71143232999</v>
      </c>
      <c r="F28" s="63">
        <v>178719.43340466</v>
      </c>
      <c r="G28" s="63">
        <v>198740.56852808999</v>
      </c>
      <c r="H28" s="63">
        <v>213367.67144070999</v>
      </c>
      <c r="I28" s="63">
        <v>217132.25182875001</v>
      </c>
      <c r="J28" s="63">
        <v>224813.95625543001</v>
      </c>
      <c r="K28" s="63">
        <v>224948.18373806</v>
      </c>
      <c r="L28" s="63">
        <v>235755.09629471999</v>
      </c>
      <c r="M28" s="63">
        <v>217822.02760584</v>
      </c>
      <c r="N28" s="63">
        <v>237368.43204404999</v>
      </c>
      <c r="O28" s="64">
        <f t="shared" si="0"/>
        <v>2469058.02400163</v>
      </c>
      <c r="P28" s="15"/>
      <c r="Q28" s="13"/>
    </row>
    <row r="29" spans="2:17" s="11" customFormat="1" ht="15.75" customHeight="1" x14ac:dyDescent="0.25">
      <c r="B29" s="58" t="s">
        <v>61</v>
      </c>
      <c r="C29" s="63">
        <v>14628.20885318</v>
      </c>
      <c r="D29" s="63">
        <v>13458.09207311</v>
      </c>
      <c r="E29" s="63">
        <v>12708.49758988</v>
      </c>
      <c r="F29" s="63">
        <v>14075.633989149999</v>
      </c>
      <c r="G29" s="63">
        <v>15146.81024189</v>
      </c>
      <c r="H29" s="63">
        <v>16892.52307159</v>
      </c>
      <c r="I29" s="63">
        <v>17412.154680700001</v>
      </c>
      <c r="J29" s="63">
        <v>17188.966003689999</v>
      </c>
      <c r="K29" s="63">
        <v>16947.803321539999</v>
      </c>
      <c r="L29" s="63">
        <v>17804.766631660001</v>
      </c>
      <c r="M29" s="63">
        <v>19298.926560830001</v>
      </c>
      <c r="N29" s="63">
        <v>17495.420791700002</v>
      </c>
      <c r="O29" s="64">
        <f t="shared" si="0"/>
        <v>193057.80380891997</v>
      </c>
      <c r="P29" s="12"/>
      <c r="Q29" s="10"/>
    </row>
    <row r="30" spans="2:17" s="14" customFormat="1" ht="15.75" customHeight="1" x14ac:dyDescent="0.25">
      <c r="B30" s="58" t="s">
        <v>62</v>
      </c>
      <c r="C30" s="63">
        <v>67454.340112000005</v>
      </c>
      <c r="D30" s="63">
        <v>66011.834271</v>
      </c>
      <c r="E30" s="63">
        <v>61938.838201999999</v>
      </c>
      <c r="F30" s="63">
        <v>66306.256076999998</v>
      </c>
      <c r="G30" s="63">
        <v>75378.776517999999</v>
      </c>
      <c r="H30" s="63">
        <v>76819.476068999997</v>
      </c>
      <c r="I30" s="63">
        <v>75949.887917</v>
      </c>
      <c r="J30" s="63">
        <v>81888.630999000001</v>
      </c>
      <c r="K30" s="63">
        <v>81160.684017000007</v>
      </c>
      <c r="L30" s="63">
        <v>81774.353197000004</v>
      </c>
      <c r="M30" s="63">
        <v>86177.642426999999</v>
      </c>
      <c r="N30" s="63">
        <v>80906.996299999999</v>
      </c>
      <c r="O30" s="64">
        <f t="shared" si="0"/>
        <v>901767.71610600001</v>
      </c>
      <c r="P30" s="12"/>
      <c r="Q30" s="13"/>
    </row>
    <row r="31" spans="2:17" s="14" customFormat="1" ht="15.75" customHeight="1" x14ac:dyDescent="0.25">
      <c r="B31" s="58" t="s">
        <v>63</v>
      </c>
      <c r="C31" s="63">
        <v>12457.30268671</v>
      </c>
      <c r="D31" s="63">
        <v>12171.237030369999</v>
      </c>
      <c r="E31" s="63">
        <v>10524.442987369999</v>
      </c>
      <c r="F31" s="63">
        <v>11592.952348680001</v>
      </c>
      <c r="G31" s="63">
        <v>13076.63156308</v>
      </c>
      <c r="H31" s="63">
        <v>12640.15908718</v>
      </c>
      <c r="I31" s="63">
        <v>13063.70405215</v>
      </c>
      <c r="J31" s="63">
        <v>14372.116841029998</v>
      </c>
      <c r="K31" s="63">
        <v>14461.637802880001</v>
      </c>
      <c r="L31" s="63">
        <v>14356.865480139999</v>
      </c>
      <c r="M31" s="63">
        <v>13331.692747520001</v>
      </c>
      <c r="N31" s="63">
        <v>15139.9</v>
      </c>
      <c r="O31" s="64">
        <f t="shared" si="0"/>
        <v>157188.64262710998</v>
      </c>
      <c r="P31" s="12"/>
      <c r="Q31" s="13"/>
    </row>
    <row r="32" spans="2:17" ht="22.5" customHeight="1" x14ac:dyDescent="0.2">
      <c r="B32" s="65" t="s">
        <v>84</v>
      </c>
      <c r="C32" s="66">
        <f>SUM(C8:C31)</f>
        <v>2526924.4998894697</v>
      </c>
      <c r="D32" s="66">
        <f>SUM(D8:D31)</f>
        <v>2443919.4109133314</v>
      </c>
      <c r="E32" s="66">
        <f t="shared" ref="E32:M32" si="1">SUM(E8:E31)</f>
        <v>2296753.3714363198</v>
      </c>
      <c r="F32" s="66">
        <f>SUM(F8:F31)</f>
        <v>2501656.5989090903</v>
      </c>
      <c r="G32" s="66">
        <f t="shared" si="1"/>
        <v>2714455.2979384437</v>
      </c>
      <c r="H32" s="66">
        <f t="shared" si="1"/>
        <v>2714614.8592755408</v>
      </c>
      <c r="I32" s="66">
        <f t="shared" si="1"/>
        <v>2816211.5882859803</v>
      </c>
      <c r="J32" s="66">
        <f t="shared" si="1"/>
        <v>2995100.8555749874</v>
      </c>
      <c r="K32" s="66">
        <f t="shared" si="1"/>
        <v>3006438.3452617791</v>
      </c>
      <c r="L32" s="66">
        <f>SUM(L8:L31)</f>
        <v>3128855.9352862989</v>
      </c>
      <c r="M32" s="66">
        <f t="shared" si="1"/>
        <v>3066200.8078257665</v>
      </c>
      <c r="N32" s="66">
        <f>SUM(N8:N31)</f>
        <v>3161932.620195515</v>
      </c>
      <c r="O32" s="66">
        <f>SUM(O8:O31)</f>
        <v>33373064.190792523</v>
      </c>
      <c r="P32" s="12"/>
    </row>
    <row r="33" spans="2:15" ht="16.5" customHeight="1" x14ac:dyDescent="0.25">
      <c r="B33" s="83" t="s">
        <v>85</v>
      </c>
      <c r="C33" s="60"/>
      <c r="D33" s="60"/>
      <c r="E33" s="60"/>
      <c r="F33" s="61"/>
      <c r="G33" s="61"/>
      <c r="H33" s="61"/>
      <c r="I33" s="61"/>
      <c r="J33" s="61"/>
      <c r="K33" s="61"/>
      <c r="L33" s="61"/>
      <c r="M33" s="61"/>
      <c r="N33" s="61"/>
      <c r="O33" s="61"/>
    </row>
    <row r="34" spans="2:15" ht="12.75" customHeight="1" x14ac:dyDescent="0.2">
      <c r="B34" s="84" t="s">
        <v>86</v>
      </c>
      <c r="C34" s="81"/>
      <c r="D34" s="81"/>
      <c r="E34" s="81"/>
      <c r="F34" s="81"/>
      <c r="G34" s="81"/>
      <c r="H34" s="81"/>
      <c r="I34" s="81"/>
      <c r="J34" s="81"/>
      <c r="K34" s="81"/>
      <c r="L34" s="81"/>
      <c r="M34" s="81"/>
      <c r="N34" s="81"/>
      <c r="O34" s="81"/>
    </row>
    <row r="35" spans="2:15" ht="14.25" customHeight="1" thickBot="1" x14ac:dyDescent="0.3">
      <c r="B35" s="85" t="s">
        <v>13</v>
      </c>
      <c r="C35" s="51"/>
      <c r="D35" s="32"/>
      <c r="E35" s="32"/>
      <c r="F35" s="32"/>
      <c r="G35" s="32"/>
      <c r="H35" s="32"/>
      <c r="I35" s="32"/>
      <c r="J35" s="32"/>
      <c r="K35" s="32"/>
      <c r="L35" s="32"/>
      <c r="M35" s="32"/>
      <c r="N35" s="32"/>
      <c r="O35" s="32"/>
    </row>
    <row r="36" spans="2:15" ht="14.25" customHeight="1" x14ac:dyDescent="0.25">
      <c r="B36" s="33" t="s">
        <v>31</v>
      </c>
      <c r="C36" s="82"/>
      <c r="D36" s="61"/>
      <c r="E36" s="82"/>
      <c r="F36" s="82"/>
      <c r="G36" s="61"/>
      <c r="H36" s="61"/>
      <c r="I36" s="61"/>
      <c r="J36" s="61"/>
      <c r="K36" s="61"/>
      <c r="L36" s="61"/>
      <c r="M36" s="61"/>
      <c r="N36" s="61"/>
      <c r="O36" s="61"/>
    </row>
    <row r="37" spans="2:15" x14ac:dyDescent="0.2">
      <c r="C37" s="17"/>
      <c r="D37" s="17"/>
      <c r="E37" s="17"/>
      <c r="F37" s="17"/>
      <c r="G37" s="17"/>
      <c r="H37" s="17"/>
      <c r="I37" s="17"/>
      <c r="J37" s="17"/>
      <c r="K37" s="17"/>
      <c r="L37" s="17"/>
      <c r="M37" s="17"/>
      <c r="N37" s="17"/>
      <c r="O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dataValidations disablePrompts="1" count="1">
    <dataValidation type="custom" errorStyle="warning" allowBlank="1" showInputMessage="1" showErrorMessage="1" errorTitle="error" error="warning" sqref="C36:G36" xr:uid="{00000000-0002-0000-0000-000000000000}">
      <formula1>"&gt;10"</formula1>
    </dataValidation>
  </dataValidations>
  <printOptions horizontalCentered="1" verticalCentered="1"/>
  <pageMargins left="0" right="0" top="0" bottom="0" header="0" footer="0"/>
  <pageSetup paperSize="9" scale="6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B1:Q48"/>
  <sheetViews>
    <sheetView showGridLines="0" zoomScale="85" zoomScaleNormal="85" workbookViewId="0">
      <selection activeCell="C32" sqref="C32:O32"/>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7" t="str">
        <f>+IIBB!N1</f>
        <v>Última actualización</v>
      </c>
      <c r="O1" s="98">
        <f>+IIBB!O1</f>
        <v>46279</v>
      </c>
    </row>
    <row r="2" spans="2:17" ht="21" customHeight="1" x14ac:dyDescent="0.3">
      <c r="B2" s="101" t="s">
        <v>1</v>
      </c>
      <c r="C2" s="101"/>
      <c r="D2" s="101"/>
      <c r="E2" s="101"/>
      <c r="F2" s="101"/>
      <c r="G2" s="101"/>
      <c r="H2" s="101"/>
      <c r="I2" s="101"/>
      <c r="J2" s="101"/>
      <c r="K2" s="101"/>
      <c r="L2" s="101"/>
      <c r="M2" s="101"/>
      <c r="N2" s="101"/>
      <c r="O2" s="101"/>
    </row>
    <row r="3" spans="2:17" ht="21" customHeight="1" x14ac:dyDescent="0.3">
      <c r="B3" s="102">
        <f>+IIBB!B3</f>
        <v>2025</v>
      </c>
      <c r="C3" s="103"/>
      <c r="D3" s="103"/>
      <c r="E3" s="103"/>
      <c r="F3" s="103"/>
      <c r="G3" s="103"/>
      <c r="H3" s="103"/>
      <c r="I3" s="103"/>
      <c r="J3" s="103"/>
      <c r="K3" s="103"/>
      <c r="L3" s="103"/>
      <c r="M3" s="103"/>
      <c r="N3" s="103"/>
      <c r="O3" s="103"/>
    </row>
    <row r="4" spans="2:17" ht="21" customHeight="1" x14ac:dyDescent="0.25">
      <c r="B4" s="104" t="s">
        <v>6</v>
      </c>
      <c r="C4" s="104"/>
      <c r="D4" s="104"/>
      <c r="E4" s="104"/>
      <c r="F4" s="104"/>
      <c r="G4" s="104"/>
      <c r="H4" s="104"/>
      <c r="I4" s="104"/>
      <c r="J4" s="104"/>
      <c r="K4" s="104"/>
      <c r="L4" s="104"/>
      <c r="M4" s="104"/>
      <c r="N4" s="104"/>
      <c r="O4" s="104"/>
    </row>
    <row r="5" spans="2:17" ht="21" customHeight="1" x14ac:dyDescent="0.4">
      <c r="C5" s="5"/>
      <c r="D5" s="6"/>
      <c r="E5" s="6"/>
      <c r="F5" s="6"/>
      <c r="G5" s="6"/>
      <c r="H5" s="7"/>
      <c r="I5" s="6"/>
    </row>
    <row r="6" spans="2:17" ht="30" customHeight="1" x14ac:dyDescent="0.2">
      <c r="B6" s="62" t="s">
        <v>32</v>
      </c>
      <c r="C6" s="62" t="s">
        <v>73</v>
      </c>
      <c r="D6" s="62" t="s">
        <v>72</v>
      </c>
      <c r="E6" s="62" t="s">
        <v>74</v>
      </c>
      <c r="F6" s="62" t="s">
        <v>75</v>
      </c>
      <c r="G6" s="62" t="s">
        <v>76</v>
      </c>
      <c r="H6" s="62" t="s">
        <v>77</v>
      </c>
      <c r="I6" s="62" t="s">
        <v>78</v>
      </c>
      <c r="J6" s="62" t="s">
        <v>79</v>
      </c>
      <c r="K6" s="62" t="s">
        <v>80</v>
      </c>
      <c r="L6" s="62" t="s">
        <v>81</v>
      </c>
      <c r="M6" s="62" t="s">
        <v>82</v>
      </c>
      <c r="N6" s="62" t="s">
        <v>83</v>
      </c>
      <c r="O6" s="62" t="s">
        <v>84</v>
      </c>
    </row>
    <row r="7" spans="2:17" s="8" customFormat="1" ht="15" hidden="1" customHeight="1" x14ac:dyDescent="0.7">
      <c r="B7"/>
      <c r="C7"/>
      <c r="D7"/>
      <c r="E7"/>
      <c r="F7"/>
      <c r="G7"/>
      <c r="H7"/>
      <c r="I7"/>
      <c r="J7"/>
      <c r="K7"/>
      <c r="L7"/>
      <c r="M7"/>
      <c r="N7"/>
      <c r="O7"/>
    </row>
    <row r="8" spans="2:17" s="14" customFormat="1" ht="15.75" customHeight="1" x14ac:dyDescent="0.25">
      <c r="B8" s="58" t="s">
        <v>89</v>
      </c>
      <c r="C8" s="63">
        <v>53403.6</v>
      </c>
      <c r="D8" s="63">
        <v>56977.9</v>
      </c>
      <c r="E8" s="63">
        <v>46971.6</v>
      </c>
      <c r="F8" s="63">
        <v>100360.2</v>
      </c>
      <c r="G8" s="63">
        <v>75660</v>
      </c>
      <c r="H8" s="63">
        <v>58955.199999999997</v>
      </c>
      <c r="I8" s="63">
        <v>70777.899999999994</v>
      </c>
      <c r="J8" s="63">
        <v>65465.1</v>
      </c>
      <c r="K8" s="63">
        <v>68754.899999999994</v>
      </c>
      <c r="L8" s="63">
        <v>71976.2</v>
      </c>
      <c r="M8" s="63">
        <v>68191.3</v>
      </c>
      <c r="N8" s="63">
        <v>70997.3</v>
      </c>
      <c r="O8" s="64">
        <f>SUM(C8:N8)</f>
        <v>808491.20000000007</v>
      </c>
      <c r="P8" s="12"/>
      <c r="Q8" s="13"/>
    </row>
    <row r="9" spans="2:17" s="11" customFormat="1" ht="15.75" customHeight="1" x14ac:dyDescent="0.25">
      <c r="B9" s="58" t="s">
        <v>41</v>
      </c>
      <c r="C9" s="63">
        <v>12069.026745774883</v>
      </c>
      <c r="D9" s="63">
        <v>21758.626365725806</v>
      </c>
      <c r="E9" s="63">
        <v>122406.77172990215</v>
      </c>
      <c r="F9" s="63">
        <v>77794.235947354842</v>
      </c>
      <c r="G9" s="63">
        <v>65141.946070712322</v>
      </c>
      <c r="H9" s="63">
        <v>92547.706114783839</v>
      </c>
      <c r="I9" s="63">
        <v>31422.985921965017</v>
      </c>
      <c r="J9" s="63">
        <v>63487.423689494914</v>
      </c>
      <c r="K9" s="63">
        <v>57873.959013466214</v>
      </c>
      <c r="L9" s="63">
        <v>27281.368123828775</v>
      </c>
      <c r="M9" s="63">
        <v>71790.474852316867</v>
      </c>
      <c r="N9" s="63">
        <v>90856.7978486543</v>
      </c>
      <c r="O9" s="64">
        <f>SUM(C9:N9)</f>
        <v>734431.32242397999</v>
      </c>
      <c r="P9" s="9"/>
      <c r="Q9" s="10"/>
    </row>
    <row r="10" spans="2:17" s="14" customFormat="1" ht="15.75" customHeight="1" x14ac:dyDescent="0.25">
      <c r="B10" s="58" t="s">
        <v>42</v>
      </c>
      <c r="C10" s="63">
        <v>207.56362679999995</v>
      </c>
      <c r="D10" s="63">
        <v>484.98519734000001</v>
      </c>
      <c r="E10" s="63">
        <v>1208.0581514700002</v>
      </c>
      <c r="F10" s="63">
        <v>887.96879211000021</v>
      </c>
      <c r="G10" s="63">
        <v>975.29977288999999</v>
      </c>
      <c r="H10" s="63">
        <v>583.90537830000005</v>
      </c>
      <c r="I10" s="63">
        <v>648.72852719000002</v>
      </c>
      <c r="J10" s="63">
        <v>252.84560475999999</v>
      </c>
      <c r="K10" s="63">
        <v>318.15989230999998</v>
      </c>
      <c r="L10" s="63">
        <v>335.55326186000002</v>
      </c>
      <c r="M10" s="63">
        <v>221.02643977</v>
      </c>
      <c r="N10" s="63">
        <v>301.1844931</v>
      </c>
      <c r="O10" s="64">
        <f t="shared" ref="O10:O31" si="0">SUM(C10:N10)</f>
        <v>6425.2791379000009</v>
      </c>
      <c r="P10" s="12"/>
      <c r="Q10" s="13"/>
    </row>
    <row r="11" spans="2:17" s="14" customFormat="1" ht="15.75" customHeight="1" x14ac:dyDescent="0.25">
      <c r="B11" s="58" t="s">
        <v>43</v>
      </c>
      <c r="C11" s="63">
        <v>18055.743745</v>
      </c>
      <c r="D11" s="63">
        <v>94728.091925999994</v>
      </c>
      <c r="E11" s="63">
        <v>48143.382695</v>
      </c>
      <c r="F11" s="63">
        <v>35425.132927999999</v>
      </c>
      <c r="G11" s="63">
        <v>56026.140070000001</v>
      </c>
      <c r="H11" s="63">
        <v>24994.542867</v>
      </c>
      <c r="I11" s="63">
        <v>21194.032307000001</v>
      </c>
      <c r="J11" s="63">
        <v>25370.010576000001</v>
      </c>
      <c r="K11" s="63">
        <v>18816.811222</v>
      </c>
      <c r="L11" s="63">
        <v>25613.905050000001</v>
      </c>
      <c r="M11" s="63">
        <v>21939.682664</v>
      </c>
      <c r="N11" s="63">
        <v>26553.937129999998</v>
      </c>
      <c r="O11" s="64">
        <f t="shared" si="0"/>
        <v>416861.41317999997</v>
      </c>
      <c r="P11" s="12"/>
      <c r="Q11" s="13"/>
    </row>
    <row r="12" spans="2:17" s="14" customFormat="1" ht="15.75" customHeight="1" x14ac:dyDescent="0.25">
      <c r="B12" s="58" t="s">
        <v>44</v>
      </c>
      <c r="C12" s="63">
        <v>132.98254130000001</v>
      </c>
      <c r="D12" s="63">
        <v>231.17473618</v>
      </c>
      <c r="E12" s="63">
        <v>343.76442443000002</v>
      </c>
      <c r="F12" s="63">
        <v>3381.3494169599999</v>
      </c>
      <c r="G12" s="63">
        <v>429.72080667999995</v>
      </c>
      <c r="H12" s="63">
        <v>1145.6416696699996</v>
      </c>
      <c r="I12" s="63">
        <v>443.95626543000009</v>
      </c>
      <c r="J12" s="63">
        <v>1079.6009546699997</v>
      </c>
      <c r="K12" s="63">
        <v>595.27403579999998</v>
      </c>
      <c r="L12" s="63">
        <v>1145.32973176</v>
      </c>
      <c r="M12" s="63">
        <v>509.26467854000009</v>
      </c>
      <c r="N12" s="63">
        <v>279.45639282999997</v>
      </c>
      <c r="O12" s="64">
        <f t="shared" si="0"/>
        <v>9717.515654249999</v>
      </c>
      <c r="P12" s="12"/>
      <c r="Q12" s="13"/>
    </row>
    <row r="13" spans="2:17" s="14" customFormat="1" ht="15.75" customHeight="1" x14ac:dyDescent="0.25">
      <c r="B13" s="58" t="s">
        <v>45</v>
      </c>
      <c r="C13" s="63">
        <v>16.827000000000002</v>
      </c>
      <c r="D13" s="63">
        <v>42.712000000000003</v>
      </c>
      <c r="E13" s="63">
        <v>16.599</v>
      </c>
      <c r="F13" s="63">
        <v>11.669</v>
      </c>
      <c r="G13" s="63">
        <v>9.9239821300000006</v>
      </c>
      <c r="H13" s="63">
        <v>6.32651246</v>
      </c>
      <c r="I13" s="63">
        <v>7.4330834699999997</v>
      </c>
      <c r="J13" s="63">
        <v>5.0702126700000001</v>
      </c>
      <c r="K13" s="63">
        <v>8.4154972699999995</v>
      </c>
      <c r="L13" s="63">
        <v>5.7130179999999999</v>
      </c>
      <c r="M13" s="63">
        <v>110.12743905000001</v>
      </c>
      <c r="N13" s="63">
        <v>43.507320839999998</v>
      </c>
      <c r="O13" s="64">
        <f t="shared" si="0"/>
        <v>284.32406588999999</v>
      </c>
      <c r="P13" s="12"/>
      <c r="Q13" s="13"/>
    </row>
    <row r="14" spans="2:17" s="14" customFormat="1" ht="15.75" customHeight="1" x14ac:dyDescent="0.25">
      <c r="B14" s="59" t="s">
        <v>46</v>
      </c>
      <c r="C14" s="63">
        <v>8.8963490399999987</v>
      </c>
      <c r="D14" s="63">
        <v>46.202248829999995</v>
      </c>
      <c r="E14" s="63">
        <v>109.00786334</v>
      </c>
      <c r="F14" s="63">
        <v>8.91477334</v>
      </c>
      <c r="G14" s="63">
        <v>6.2011682600000002</v>
      </c>
      <c r="H14" s="63">
        <v>16.495191909999999</v>
      </c>
      <c r="I14" s="63">
        <v>16.143299039999999</v>
      </c>
      <c r="J14" s="63">
        <v>15.19332415</v>
      </c>
      <c r="K14" s="63">
        <v>30.612216670000002</v>
      </c>
      <c r="L14" s="63">
        <v>37.610020929999997</v>
      </c>
      <c r="M14" s="63">
        <v>30.14990607</v>
      </c>
      <c r="N14" s="63">
        <v>54.033735999999998</v>
      </c>
      <c r="O14" s="64">
        <f t="shared" si="0"/>
        <v>379.46009757999997</v>
      </c>
      <c r="P14" s="12"/>
      <c r="Q14" s="13"/>
    </row>
    <row r="15" spans="2:17" s="14" customFormat="1" ht="15.75" customHeight="1" x14ac:dyDescent="0.25">
      <c r="B15" s="58" t="s">
        <v>47</v>
      </c>
      <c r="C15" s="63">
        <v>944.30146200000001</v>
      </c>
      <c r="D15" s="63">
        <v>787.20232699999997</v>
      </c>
      <c r="E15" s="63">
        <v>756.33421399999997</v>
      </c>
      <c r="F15" s="63">
        <v>15539.676266</v>
      </c>
      <c r="G15" s="63">
        <v>20068.877863000002</v>
      </c>
      <c r="H15" s="63">
        <v>9192.2568140000003</v>
      </c>
      <c r="I15" s="63">
        <v>11027.158119</v>
      </c>
      <c r="J15" s="63">
        <v>8735.4507190000004</v>
      </c>
      <c r="K15" s="63">
        <v>4731.2467470000001</v>
      </c>
      <c r="L15" s="63">
        <v>18603.536714000002</v>
      </c>
      <c r="M15" s="63">
        <v>3278.6250540000001</v>
      </c>
      <c r="N15" s="63">
        <v>17847.976342000002</v>
      </c>
      <c r="O15" s="64">
        <f t="shared" si="0"/>
        <v>111512.64264100001</v>
      </c>
      <c r="P15" s="12"/>
      <c r="Q15" s="13"/>
    </row>
    <row r="16" spans="2:17" s="14" customFormat="1" ht="15.75" customHeight="1" x14ac:dyDescent="0.25">
      <c r="B16" s="58" t="s">
        <v>48</v>
      </c>
      <c r="C16" s="63">
        <v>51.961855159999999</v>
      </c>
      <c r="D16" s="63">
        <v>61.808090679999999</v>
      </c>
      <c r="E16" s="63">
        <v>88.606207519999998</v>
      </c>
      <c r="F16" s="63">
        <v>67.309550959999996</v>
      </c>
      <c r="G16" s="63">
        <v>68.180008110000003</v>
      </c>
      <c r="H16" s="63">
        <v>62.413398649999998</v>
      </c>
      <c r="I16" s="63">
        <v>74.620397389999994</v>
      </c>
      <c r="J16" s="63">
        <v>60.934076470000001</v>
      </c>
      <c r="K16" s="63">
        <v>62.715326909999995</v>
      </c>
      <c r="L16" s="63">
        <v>64.943201759999994</v>
      </c>
      <c r="M16" s="63">
        <v>77.852224540000009</v>
      </c>
      <c r="N16" s="63">
        <v>77.697647900000007</v>
      </c>
      <c r="O16" s="64">
        <f t="shared" si="0"/>
        <v>819.04198605000011</v>
      </c>
      <c r="P16" s="12"/>
      <c r="Q16" s="13"/>
    </row>
    <row r="17" spans="2:17" s="14" customFormat="1" ht="15.75" customHeight="1" x14ac:dyDescent="0.25">
      <c r="B17" s="58" t="s">
        <v>49</v>
      </c>
      <c r="C17" s="63">
        <v>1126.6109899999999</v>
      </c>
      <c r="D17" s="63">
        <v>3095.9579650000001</v>
      </c>
      <c r="E17" s="63">
        <v>1735.021835</v>
      </c>
      <c r="F17" s="63">
        <v>758.67088699999999</v>
      </c>
      <c r="G17" s="63">
        <v>308.28703100000001</v>
      </c>
      <c r="H17" s="63">
        <v>232.24490499999999</v>
      </c>
      <c r="I17" s="63">
        <v>353.759139</v>
      </c>
      <c r="J17" s="63">
        <v>276.39086300000002</v>
      </c>
      <c r="K17" s="63">
        <v>343.13790999999998</v>
      </c>
      <c r="L17" s="63">
        <v>303.10140799999999</v>
      </c>
      <c r="M17" s="63">
        <v>230.61714799999999</v>
      </c>
      <c r="N17" s="63">
        <v>346.54054100000002</v>
      </c>
      <c r="O17" s="64">
        <f t="shared" si="0"/>
        <v>9110.3406219999997</v>
      </c>
      <c r="P17" s="12"/>
      <c r="Q17" s="13"/>
    </row>
    <row r="18" spans="2:17" s="11" customFormat="1" ht="15.75" customHeight="1" x14ac:dyDescent="0.25">
      <c r="B18" s="58" t="s">
        <v>50</v>
      </c>
      <c r="C18" s="63">
        <v>284.95326514999999</v>
      </c>
      <c r="D18" s="63">
        <v>239.74369555999999</v>
      </c>
      <c r="E18" s="63">
        <v>447.02817183000002</v>
      </c>
      <c r="F18" s="63">
        <v>5548.9372644799996</v>
      </c>
      <c r="G18" s="63">
        <v>3138.7893697999998</v>
      </c>
      <c r="H18" s="63">
        <v>3295.2599687699999</v>
      </c>
      <c r="I18" s="63">
        <v>4013.4953248400002</v>
      </c>
      <c r="J18" s="63">
        <v>1533.1180490300001</v>
      </c>
      <c r="K18" s="63">
        <v>3729.3897619600002</v>
      </c>
      <c r="L18" s="63">
        <v>1380.5019894</v>
      </c>
      <c r="M18" s="63">
        <v>1227.70734223</v>
      </c>
      <c r="N18" s="63">
        <v>948.96688714000004</v>
      </c>
      <c r="O18" s="64">
        <f t="shared" si="0"/>
        <v>25787.891090189994</v>
      </c>
      <c r="P18" s="9"/>
      <c r="Q18" s="10"/>
    </row>
    <row r="19" spans="2:17" s="14" customFormat="1" ht="15.75" customHeight="1" x14ac:dyDescent="0.25">
      <c r="B19" s="58" t="s">
        <v>51</v>
      </c>
      <c r="C19" s="63">
        <v>204.70950343999999</v>
      </c>
      <c r="D19" s="63">
        <v>287.58681552000002</v>
      </c>
      <c r="E19" s="63">
        <v>824.28654711000001</v>
      </c>
      <c r="F19" s="63">
        <v>395.60924224000001</v>
      </c>
      <c r="G19" s="63">
        <v>238.31705357000001</v>
      </c>
      <c r="H19" s="63">
        <v>182.64925753999995</v>
      </c>
      <c r="I19" s="63">
        <v>161.85895264999999</v>
      </c>
      <c r="J19" s="63">
        <v>177.596504813</v>
      </c>
      <c r="K19" s="63">
        <v>153.04957532</v>
      </c>
      <c r="L19" s="63">
        <v>147.11220757000001</v>
      </c>
      <c r="M19" s="63">
        <v>147.37529584000001</v>
      </c>
      <c r="N19" s="63">
        <v>161.23262404000002</v>
      </c>
      <c r="O19" s="64">
        <f t="shared" si="0"/>
        <v>3081.3835796530002</v>
      </c>
      <c r="P19" s="12"/>
      <c r="Q19" s="13"/>
    </row>
    <row r="20" spans="2:17" s="14" customFormat="1" ht="15.75" customHeight="1" x14ac:dyDescent="0.25">
      <c r="B20" s="58" t="s">
        <v>52</v>
      </c>
      <c r="C20" s="63">
        <v>1685.7638899999999</v>
      </c>
      <c r="D20" s="63">
        <v>18424.955131999999</v>
      </c>
      <c r="E20" s="63">
        <v>3316.3430669999998</v>
      </c>
      <c r="F20" s="63">
        <v>4726.6892809999999</v>
      </c>
      <c r="G20" s="63">
        <v>1813.967911</v>
      </c>
      <c r="H20" s="63">
        <v>3865.0784159999998</v>
      </c>
      <c r="I20" s="63">
        <v>1721.2307719999999</v>
      </c>
      <c r="J20" s="63">
        <v>4100.2921485999996</v>
      </c>
      <c r="K20" s="63">
        <v>1835.1405999000001</v>
      </c>
      <c r="L20" s="63">
        <v>4174.8540134000004</v>
      </c>
      <c r="M20" s="63">
        <v>1792.1549514000001</v>
      </c>
      <c r="N20" s="63">
        <v>5555.5565999999999</v>
      </c>
      <c r="O20" s="64">
        <f t="shared" si="0"/>
        <v>53012.026782299989</v>
      </c>
      <c r="P20" s="12"/>
      <c r="Q20" s="13"/>
    </row>
    <row r="21" spans="2:17" s="14" customFormat="1" ht="15.75" customHeight="1" x14ac:dyDescent="0.25">
      <c r="B21" s="58" t="s">
        <v>53</v>
      </c>
      <c r="C21" s="63">
        <v>2345.9539494400001</v>
      </c>
      <c r="D21" s="63">
        <v>3028.6306149699999</v>
      </c>
      <c r="E21" s="63">
        <v>1850.1253373</v>
      </c>
      <c r="F21" s="63">
        <v>1671.3015068900002</v>
      </c>
      <c r="G21" s="63">
        <v>1637.4337797799999</v>
      </c>
      <c r="H21" s="63">
        <v>1630.51368596</v>
      </c>
      <c r="I21" s="63">
        <v>1640.0115383099999</v>
      </c>
      <c r="J21" s="63">
        <v>1639.4060429799999</v>
      </c>
      <c r="K21" s="63">
        <v>348.59611854000002</v>
      </c>
      <c r="L21" s="63">
        <v>332.61516826999997</v>
      </c>
      <c r="M21" s="63">
        <v>252.09053446000001</v>
      </c>
      <c r="N21" s="63">
        <v>370.54094326000001</v>
      </c>
      <c r="O21" s="64">
        <f t="shared" si="0"/>
        <v>16747.219220159997</v>
      </c>
      <c r="P21" s="15"/>
      <c r="Q21" s="13"/>
    </row>
    <row r="22" spans="2:17" s="14" customFormat="1" ht="15.75" customHeight="1" x14ac:dyDescent="0.25">
      <c r="B22" s="58" t="s">
        <v>54</v>
      </c>
      <c r="C22" s="63">
        <v>8198.4512317999997</v>
      </c>
      <c r="D22" s="63">
        <v>2964.5974477599998</v>
      </c>
      <c r="E22" s="63">
        <v>2401.7738403200001</v>
      </c>
      <c r="F22" s="63">
        <v>2254.1146178399999</v>
      </c>
      <c r="G22" s="63">
        <v>2022.79285925</v>
      </c>
      <c r="H22" s="63">
        <v>2029.5298198800001</v>
      </c>
      <c r="I22" s="63">
        <v>5266.64986107</v>
      </c>
      <c r="J22" s="63">
        <v>2699.8830463200002</v>
      </c>
      <c r="K22" s="63">
        <v>2427.0737551100001</v>
      </c>
      <c r="L22" s="63">
        <v>2187.6975092299999</v>
      </c>
      <c r="M22" s="63">
        <v>1839.50098385</v>
      </c>
      <c r="N22" s="63">
        <v>2070.9698312199998</v>
      </c>
      <c r="O22" s="64">
        <f t="shared" si="0"/>
        <v>36363.034803649993</v>
      </c>
      <c r="P22" s="15"/>
      <c r="Q22" s="13"/>
    </row>
    <row r="23" spans="2:17" s="14" customFormat="1" ht="15.75" customHeight="1" x14ac:dyDescent="0.25">
      <c r="B23" s="58" t="s">
        <v>55</v>
      </c>
      <c r="C23" s="63">
        <v>4527.0244649799997</v>
      </c>
      <c r="D23" s="63">
        <v>8889.0553074899999</v>
      </c>
      <c r="E23" s="63">
        <v>3417.24863168</v>
      </c>
      <c r="F23" s="63">
        <v>1495.208441</v>
      </c>
      <c r="G23" s="63">
        <v>1319.42629203</v>
      </c>
      <c r="H23" s="63">
        <v>1252.49298924</v>
      </c>
      <c r="I23" s="63">
        <v>1468.8466943999999</v>
      </c>
      <c r="J23" s="63">
        <v>1399.5340585500001</v>
      </c>
      <c r="K23" s="63">
        <v>1450.1250988300001</v>
      </c>
      <c r="L23" s="63">
        <v>1492.2197628199999</v>
      </c>
      <c r="M23" s="63">
        <v>1405.1642328200001</v>
      </c>
      <c r="N23" s="63">
        <v>1530.4876527599999</v>
      </c>
      <c r="O23" s="64">
        <f t="shared" si="0"/>
        <v>29646.833626599997</v>
      </c>
      <c r="P23" s="15"/>
      <c r="Q23" s="13"/>
    </row>
    <row r="24" spans="2:17" s="14" customFormat="1" ht="15.75" customHeight="1" x14ac:dyDescent="0.25">
      <c r="B24" s="58" t="s">
        <v>56</v>
      </c>
      <c r="C24" s="63">
        <v>15.11320757</v>
      </c>
      <c r="D24" s="63">
        <v>32.072138320000001</v>
      </c>
      <c r="E24" s="63">
        <v>116.3198744</v>
      </c>
      <c r="F24" s="63">
        <v>61.229018140000001</v>
      </c>
      <c r="G24" s="63">
        <v>44.343556990000003</v>
      </c>
      <c r="H24" s="63">
        <v>130.54275132999999</v>
      </c>
      <c r="I24" s="63">
        <v>38.848897299999997</v>
      </c>
      <c r="J24" s="63">
        <v>36.402136089999999</v>
      </c>
      <c r="K24" s="63">
        <v>128.00372471</v>
      </c>
      <c r="L24" s="63">
        <v>64.174274629999999</v>
      </c>
      <c r="M24" s="63">
        <v>116.35745925000001</v>
      </c>
      <c r="N24" s="63">
        <v>64.060120710000007</v>
      </c>
      <c r="O24" s="64">
        <f t="shared" si="0"/>
        <v>847.46715944000005</v>
      </c>
      <c r="P24" s="15"/>
      <c r="Q24" s="13"/>
    </row>
    <row r="25" spans="2:17" s="14" customFormat="1" ht="15.75" customHeight="1" x14ac:dyDescent="0.25">
      <c r="B25" s="58" t="s">
        <v>57</v>
      </c>
      <c r="C25" s="63">
        <v>175.56475533</v>
      </c>
      <c r="D25" s="63">
        <v>1740.3506560000001</v>
      </c>
      <c r="E25" s="63">
        <v>944.55649900000003</v>
      </c>
      <c r="F25" s="63">
        <v>533.83581600000002</v>
      </c>
      <c r="G25" s="63">
        <v>386.481649</v>
      </c>
      <c r="H25" s="63">
        <v>345.108723</v>
      </c>
      <c r="I25" s="63">
        <v>399.14415300000002</v>
      </c>
      <c r="J25" s="63">
        <v>416.918207</v>
      </c>
      <c r="K25" s="63">
        <v>332.42221499999999</v>
      </c>
      <c r="L25" s="63">
        <v>319.643754</v>
      </c>
      <c r="M25" s="63">
        <v>284.37060100000002</v>
      </c>
      <c r="N25" s="63">
        <v>400.23287499999998</v>
      </c>
      <c r="O25" s="64">
        <f t="shared" si="0"/>
        <v>6278.6299033299983</v>
      </c>
      <c r="P25" s="15"/>
      <c r="Q25" s="13"/>
    </row>
    <row r="26" spans="2:17" s="14" customFormat="1" ht="15.75" customHeight="1" x14ac:dyDescent="0.25">
      <c r="B26" s="58" t="s">
        <v>58</v>
      </c>
      <c r="C26" s="63">
        <v>453.11075303000001</v>
      </c>
      <c r="D26" s="63">
        <v>1429.80248267</v>
      </c>
      <c r="E26" s="63">
        <v>4573.6642628299996</v>
      </c>
      <c r="F26" s="63">
        <v>803.78915515999995</v>
      </c>
      <c r="G26" s="63">
        <v>572.46850687999995</v>
      </c>
      <c r="H26" s="63">
        <v>607.18506931000002</v>
      </c>
      <c r="I26" s="63">
        <v>673.51143665999996</v>
      </c>
      <c r="J26" s="63">
        <v>573.39723904000004</v>
      </c>
      <c r="K26" s="63">
        <v>703.06789572000002</v>
      </c>
      <c r="L26" s="63">
        <v>713.40122455999995</v>
      </c>
      <c r="M26" s="63">
        <v>734.87423329000001</v>
      </c>
      <c r="N26" s="63">
        <v>1424.1115159999999</v>
      </c>
      <c r="O26" s="64">
        <f t="shared" si="0"/>
        <v>13262.38377515</v>
      </c>
      <c r="P26" s="15"/>
      <c r="Q26" s="13"/>
    </row>
    <row r="27" spans="2:17" s="14" customFormat="1" ht="15.75" customHeight="1" x14ac:dyDescent="0.25">
      <c r="B27" s="58" t="s">
        <v>59</v>
      </c>
      <c r="C27" s="63">
        <v>0.13452442000000001</v>
      </c>
      <c r="D27" s="63">
        <v>0.51829734000000005</v>
      </c>
      <c r="E27" s="63">
        <v>3.6736059399999998</v>
      </c>
      <c r="F27" s="63">
        <v>0.54765193999999995</v>
      </c>
      <c r="G27" s="63">
        <v>0.31168738000000001</v>
      </c>
      <c r="H27" s="63">
        <v>0.45514094999999999</v>
      </c>
      <c r="I27" s="63">
        <v>8.4306130000000007E-2</v>
      </c>
      <c r="J27" s="63">
        <v>5.1693490000000002E-2</v>
      </c>
      <c r="K27" s="63">
        <v>1.10503887</v>
      </c>
      <c r="L27" s="63">
        <v>0.23876420000000001</v>
      </c>
      <c r="M27" s="63">
        <v>0.72005759000000003</v>
      </c>
      <c r="N27" s="63">
        <v>0.23487874</v>
      </c>
      <c r="O27" s="64">
        <f t="shared" si="0"/>
        <v>8.0756469899999992</v>
      </c>
      <c r="P27" s="15"/>
      <c r="Q27" s="13"/>
    </row>
    <row r="28" spans="2:17" s="14" customFormat="1" ht="15.75" customHeight="1" x14ac:dyDescent="0.25">
      <c r="B28" s="58" t="s">
        <v>88</v>
      </c>
      <c r="C28" s="63">
        <v>3751.6773029899996</v>
      </c>
      <c r="D28" s="63">
        <v>53330.190699300001</v>
      </c>
      <c r="E28" s="63">
        <v>8063.27299967</v>
      </c>
      <c r="F28" s="63">
        <v>9894.4938048200002</v>
      </c>
      <c r="G28" s="63">
        <v>8149.0054291500001</v>
      </c>
      <c r="H28" s="63">
        <v>11162.421571549999</v>
      </c>
      <c r="I28" s="63">
        <v>8077.2863482100001</v>
      </c>
      <c r="J28" s="63">
        <v>12956.838887559999</v>
      </c>
      <c r="K28" s="63">
        <v>8231.68569303</v>
      </c>
      <c r="L28" s="63">
        <v>12906.29275486</v>
      </c>
      <c r="M28" s="63">
        <v>6133.5205099599998</v>
      </c>
      <c r="N28" s="63">
        <v>9258.83412365</v>
      </c>
      <c r="O28" s="64">
        <f t="shared" si="0"/>
        <v>151915.52012475004</v>
      </c>
      <c r="P28" s="15"/>
      <c r="Q28" s="13"/>
    </row>
    <row r="29" spans="2:17" s="11" customFormat="1" ht="15.75" customHeight="1" x14ac:dyDescent="0.25">
      <c r="B29" s="58" t="s">
        <v>61</v>
      </c>
      <c r="C29" s="63">
        <v>792.24824534999993</v>
      </c>
      <c r="D29" s="63">
        <v>802.50506983000002</v>
      </c>
      <c r="E29" s="63">
        <v>886.90753989999996</v>
      </c>
      <c r="F29" s="63">
        <v>5848.2969586099998</v>
      </c>
      <c r="G29" s="63">
        <v>2433.2117100199998</v>
      </c>
      <c r="H29" s="63">
        <v>2954.93616901</v>
      </c>
      <c r="I29" s="63">
        <v>1863.78115654</v>
      </c>
      <c r="J29" s="63">
        <v>2336.4046324800001</v>
      </c>
      <c r="K29" s="63">
        <v>1645.4152606199998</v>
      </c>
      <c r="L29" s="63">
        <v>1549.14936713</v>
      </c>
      <c r="M29" s="63">
        <v>1910.84931609</v>
      </c>
      <c r="N29" s="63">
        <v>1840.1775764400002</v>
      </c>
      <c r="O29" s="64">
        <f t="shared" si="0"/>
        <v>24863.883002020004</v>
      </c>
      <c r="P29" s="12"/>
      <c r="Q29" s="10"/>
    </row>
    <row r="30" spans="2:17" s="14" customFormat="1" ht="15.75" customHeight="1" x14ac:dyDescent="0.25">
      <c r="B30" s="58" t="s">
        <v>62</v>
      </c>
      <c r="C30" s="63">
        <v>1635.1727800000001</v>
      </c>
      <c r="D30" s="63">
        <v>699.38694299999997</v>
      </c>
      <c r="E30" s="63">
        <v>714.38024299999995</v>
      </c>
      <c r="F30" s="63">
        <v>767.88332400000002</v>
      </c>
      <c r="G30" s="63">
        <v>763.861133</v>
      </c>
      <c r="H30" s="63">
        <v>767.05818099999999</v>
      </c>
      <c r="I30" s="63">
        <v>889.40551300000004</v>
      </c>
      <c r="J30" s="63">
        <v>808.160347</v>
      </c>
      <c r="K30" s="63">
        <v>841.19749899999999</v>
      </c>
      <c r="L30" s="63">
        <v>886.63558499999999</v>
      </c>
      <c r="M30" s="63">
        <v>840.27056100000004</v>
      </c>
      <c r="N30" s="63">
        <v>7451.2156340000001</v>
      </c>
      <c r="O30" s="64">
        <f t="shared" si="0"/>
        <v>17064.627742999997</v>
      </c>
      <c r="P30" s="12"/>
      <c r="Q30" s="13"/>
    </row>
    <row r="31" spans="2:17" s="14" customFormat="1" ht="15.75" customHeight="1" x14ac:dyDescent="0.25">
      <c r="B31" s="58" t="s">
        <v>63</v>
      </c>
      <c r="C31" s="63">
        <v>2.0678528799999998</v>
      </c>
      <c r="D31" s="63">
        <v>0.24344785999999999</v>
      </c>
      <c r="E31" s="63">
        <v>9.8316639999999997E-2</v>
      </c>
      <c r="F31" s="63">
        <v>4.6366749999999998E-2</v>
      </c>
      <c r="G31" s="63">
        <v>0.10814075999999999</v>
      </c>
      <c r="H31" s="63">
        <v>1.89825E-3</v>
      </c>
      <c r="I31" s="63">
        <v>0.11424616</v>
      </c>
      <c r="J31" s="63">
        <v>2.5487300000000001E-2</v>
      </c>
      <c r="K31" s="63">
        <v>0.10507350999999999</v>
      </c>
      <c r="L31" s="63">
        <v>1.6569E-3</v>
      </c>
      <c r="M31" s="63">
        <v>6.5226549999999994E-2</v>
      </c>
      <c r="N31" s="63">
        <v>2.8</v>
      </c>
      <c r="O31" s="64">
        <f t="shared" si="0"/>
        <v>5.677713559999999</v>
      </c>
      <c r="P31" s="12"/>
      <c r="Q31" s="13"/>
    </row>
    <row r="32" spans="2:17" ht="22.5" customHeight="1" x14ac:dyDescent="0.2">
      <c r="B32" s="65" t="s">
        <v>84</v>
      </c>
      <c r="C32" s="66">
        <f>SUM(C8:C31)</f>
        <v>110089.46004145492</v>
      </c>
      <c r="D32" s="66">
        <f>SUM(D8:D31)</f>
        <v>270084.29960437579</v>
      </c>
      <c r="E32" s="66">
        <f t="shared" ref="E32:M32" si="1">SUM(E8:E31)</f>
        <v>249338.8250572822</v>
      </c>
      <c r="F32" s="66">
        <f>SUM(F8:F31)</f>
        <v>268237.11001059477</v>
      </c>
      <c r="G32" s="66">
        <f t="shared" si="1"/>
        <v>241215.0958513924</v>
      </c>
      <c r="H32" s="66">
        <f t="shared" si="1"/>
        <v>215959.9664935639</v>
      </c>
      <c r="I32" s="66">
        <f t="shared" si="1"/>
        <v>162180.98625975507</v>
      </c>
      <c r="J32" s="66">
        <f t="shared" si="1"/>
        <v>193426.04850046791</v>
      </c>
      <c r="K32" s="66">
        <f t="shared" si="1"/>
        <v>173361.60917154624</v>
      </c>
      <c r="L32" s="66">
        <f>SUM(L8:L31)</f>
        <v>171521.79856210877</v>
      </c>
      <c r="M32" s="66">
        <f t="shared" si="1"/>
        <v>183064.14171161692</v>
      </c>
      <c r="N32" s="66">
        <f>SUM(N8:N31)</f>
        <v>238437.85271528439</v>
      </c>
      <c r="O32" s="66">
        <f>SUM(O8:O31)</f>
        <v>2476917.1939794431</v>
      </c>
      <c r="P32" s="12"/>
    </row>
    <row r="33" spans="2:15" s="28" customFormat="1" ht="21.75" customHeight="1" x14ac:dyDescent="0.2">
      <c r="B33" s="83" t="s">
        <v>30</v>
      </c>
      <c r="C33" s="86"/>
      <c r="D33" s="86"/>
      <c r="E33" s="86"/>
    </row>
    <row r="34" spans="2:15" s="28" customFormat="1" ht="16.5" customHeight="1" x14ac:dyDescent="0.2">
      <c r="B34" s="84" t="s">
        <v>86</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31</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B1:Q48"/>
  <sheetViews>
    <sheetView showGridLines="0" zoomScale="85" zoomScaleNormal="85" workbookViewId="0">
      <selection activeCell="C32" sqref="C32:O32"/>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7" t="str">
        <f>+IIBB!N1</f>
        <v>Última actualización</v>
      </c>
      <c r="O1" s="98">
        <f>+IIBB!O1</f>
        <v>46279</v>
      </c>
    </row>
    <row r="2" spans="2:17" ht="21" customHeight="1" x14ac:dyDescent="0.3">
      <c r="B2" s="101" t="s">
        <v>2</v>
      </c>
      <c r="C2" s="101"/>
      <c r="D2" s="101"/>
      <c r="E2" s="101"/>
      <c r="F2" s="101"/>
      <c r="G2" s="101"/>
      <c r="H2" s="101"/>
      <c r="I2" s="101"/>
      <c r="J2" s="101"/>
      <c r="K2" s="101"/>
      <c r="L2" s="101"/>
      <c r="M2" s="101"/>
      <c r="N2" s="101"/>
      <c r="O2" s="101"/>
    </row>
    <row r="3" spans="2:17" ht="21" customHeight="1" x14ac:dyDescent="0.3">
      <c r="B3" s="102">
        <f>+IIBB!B3</f>
        <v>2025</v>
      </c>
      <c r="C3" s="103"/>
      <c r="D3" s="103"/>
      <c r="E3" s="103"/>
      <c r="F3" s="103"/>
      <c r="G3" s="103"/>
      <c r="H3" s="103"/>
      <c r="I3" s="103"/>
      <c r="J3" s="103"/>
      <c r="K3" s="103"/>
      <c r="L3" s="103"/>
      <c r="M3" s="103"/>
      <c r="N3" s="103"/>
      <c r="O3" s="103"/>
    </row>
    <row r="4" spans="2:17" ht="21" customHeight="1" x14ac:dyDescent="0.25">
      <c r="B4" s="104" t="s">
        <v>6</v>
      </c>
      <c r="C4" s="104"/>
      <c r="D4" s="104"/>
      <c r="E4" s="104"/>
      <c r="F4" s="104"/>
      <c r="G4" s="104"/>
      <c r="H4" s="104"/>
      <c r="I4" s="104"/>
      <c r="J4" s="104"/>
      <c r="K4" s="104"/>
      <c r="L4" s="104"/>
      <c r="M4" s="104"/>
      <c r="N4" s="104"/>
      <c r="O4" s="104"/>
    </row>
    <row r="5" spans="2:17" ht="21" customHeight="1" x14ac:dyDescent="0.4">
      <c r="C5" s="5"/>
      <c r="D5" s="6"/>
      <c r="E5" s="6"/>
      <c r="F5" s="6"/>
      <c r="G5" s="6"/>
      <c r="H5" s="7"/>
      <c r="I5" s="6"/>
    </row>
    <row r="6" spans="2:17" ht="30" customHeight="1" x14ac:dyDescent="0.2">
      <c r="B6" s="62" t="s">
        <v>32</v>
      </c>
      <c r="C6" s="62" t="s">
        <v>73</v>
      </c>
      <c r="D6" s="62" t="s">
        <v>72</v>
      </c>
      <c r="E6" s="62" t="s">
        <v>74</v>
      </c>
      <c r="F6" s="62" t="s">
        <v>75</v>
      </c>
      <c r="G6" s="62" t="s">
        <v>76</v>
      </c>
      <c r="H6" s="62" t="s">
        <v>77</v>
      </c>
      <c r="I6" s="62" t="s">
        <v>78</v>
      </c>
      <c r="J6" s="62" t="s">
        <v>79</v>
      </c>
      <c r="K6" s="62" t="s">
        <v>80</v>
      </c>
      <c r="L6" s="62" t="s">
        <v>81</v>
      </c>
      <c r="M6" s="62" t="s">
        <v>82</v>
      </c>
      <c r="N6" s="62" t="s">
        <v>83</v>
      </c>
      <c r="O6" s="62" t="s">
        <v>84</v>
      </c>
    </row>
    <row r="7" spans="2:17" s="8" customFormat="1" ht="15" hidden="1" customHeight="1" x14ac:dyDescent="0.7">
      <c r="B7" s="23"/>
      <c r="C7" s="23"/>
      <c r="D7" s="24"/>
      <c r="E7" s="24"/>
      <c r="F7" s="25"/>
      <c r="G7" s="26"/>
      <c r="H7" s="27"/>
      <c r="I7" s="27"/>
      <c r="J7" s="27"/>
      <c r="K7" s="27"/>
      <c r="O7" s="80"/>
    </row>
    <row r="8" spans="2:17" s="14" customFormat="1" ht="15.75" customHeight="1" x14ac:dyDescent="0.25">
      <c r="B8" s="58" t="s">
        <v>89</v>
      </c>
      <c r="C8" s="63">
        <v>66047.3</v>
      </c>
      <c r="D8" s="63">
        <v>53812.6</v>
      </c>
      <c r="E8" s="63">
        <v>51470.3</v>
      </c>
      <c r="F8" s="63">
        <v>57384</v>
      </c>
      <c r="G8" s="63">
        <v>64533.9</v>
      </c>
      <c r="H8" s="63">
        <v>63621.9</v>
      </c>
      <c r="I8" s="63">
        <v>70159</v>
      </c>
      <c r="J8" s="63">
        <v>75997.7</v>
      </c>
      <c r="K8" s="63">
        <v>81975.899999999994</v>
      </c>
      <c r="L8" s="63">
        <v>77859.199999999997</v>
      </c>
      <c r="M8" s="63">
        <v>79512.399999999994</v>
      </c>
      <c r="N8" s="63">
        <v>69953.399999999994</v>
      </c>
      <c r="O8" s="64">
        <f>SUM(C8:N8)</f>
        <v>812327.60000000009</v>
      </c>
      <c r="P8" s="12"/>
      <c r="Q8" s="13"/>
    </row>
    <row r="9" spans="2:17" s="11" customFormat="1" ht="15.75" customHeight="1" x14ac:dyDescent="0.25">
      <c r="B9" s="58" t="s">
        <v>41</v>
      </c>
      <c r="C9" s="63">
        <v>102391.9589945</v>
      </c>
      <c r="D9" s="63">
        <v>98963.657799599998</v>
      </c>
      <c r="E9" s="63">
        <v>102402.03380359999</v>
      </c>
      <c r="F9" s="63">
        <v>115026.90738129998</v>
      </c>
      <c r="G9" s="63">
        <v>119582.71594970002</v>
      </c>
      <c r="H9" s="63">
        <v>120786.95787329999</v>
      </c>
      <c r="I9" s="63">
        <v>127345.1972238</v>
      </c>
      <c r="J9" s="63">
        <v>138269.14054669999</v>
      </c>
      <c r="K9" s="63">
        <v>136040.82162799998</v>
      </c>
      <c r="L9" s="63">
        <v>133903.27931010001</v>
      </c>
      <c r="M9" s="63">
        <v>146538.6383473</v>
      </c>
      <c r="N9" s="63">
        <v>127114.70454519999</v>
      </c>
      <c r="O9" s="64">
        <f>SUM(C9:N9)</f>
        <v>1468366.0134031</v>
      </c>
      <c r="P9" s="9"/>
      <c r="Q9" s="10"/>
    </row>
    <row r="10" spans="2:17" s="14" customFormat="1" ht="15.75" customHeight="1" x14ac:dyDescent="0.25">
      <c r="B10" s="58" t="s">
        <v>42</v>
      </c>
      <c r="C10" s="63">
        <v>593.95502668999995</v>
      </c>
      <c r="D10" s="63">
        <v>394.95457916999999</v>
      </c>
      <c r="E10" s="63">
        <v>457.21790188</v>
      </c>
      <c r="F10" s="63">
        <v>1231.8058284000001</v>
      </c>
      <c r="G10" s="63">
        <v>579.27731145999996</v>
      </c>
      <c r="H10" s="63">
        <v>601.56831997999996</v>
      </c>
      <c r="I10" s="63">
        <v>652.52747373</v>
      </c>
      <c r="J10" s="63">
        <v>893.95658736999997</v>
      </c>
      <c r="K10" s="63">
        <v>558.75775456999997</v>
      </c>
      <c r="L10" s="63">
        <v>606.45686948000002</v>
      </c>
      <c r="M10" s="63">
        <v>457.96827029000002</v>
      </c>
      <c r="N10" s="63">
        <v>509.28885657000001</v>
      </c>
      <c r="O10" s="64">
        <f t="shared" ref="O10:O31" si="0">SUM(C10:N10)</f>
        <v>7537.7347795900005</v>
      </c>
      <c r="P10" s="12"/>
      <c r="Q10" s="13"/>
    </row>
    <row r="11" spans="2:17" s="14" customFormat="1" ht="15.75" customHeight="1" x14ac:dyDescent="0.25">
      <c r="B11" s="58" t="s">
        <v>43</v>
      </c>
      <c r="C11" s="63">
        <v>29049.267787000001</v>
      </c>
      <c r="D11" s="63">
        <v>22444.966586999999</v>
      </c>
      <c r="E11" s="63">
        <v>26273.157856000002</v>
      </c>
      <c r="F11" s="63">
        <v>27850.851074999999</v>
      </c>
      <c r="G11" s="63">
        <v>30068.188816000002</v>
      </c>
      <c r="H11" s="63">
        <v>33315.837718000002</v>
      </c>
      <c r="I11" s="63">
        <v>32790.452064999998</v>
      </c>
      <c r="J11" s="63">
        <v>35264.211109999997</v>
      </c>
      <c r="K11" s="63">
        <v>35381.362562000002</v>
      </c>
      <c r="L11" s="63">
        <v>35499.607456999998</v>
      </c>
      <c r="M11" s="63">
        <v>25934.810502</v>
      </c>
      <c r="N11" s="63">
        <v>38323.740575000003</v>
      </c>
      <c r="O11" s="64">
        <f t="shared" si="0"/>
        <v>372196.45410999999</v>
      </c>
      <c r="P11" s="12"/>
      <c r="Q11" s="13"/>
    </row>
    <row r="12" spans="2:17" s="14" customFormat="1" ht="15.75" customHeight="1" x14ac:dyDescent="0.25">
      <c r="B12" s="58" t="s">
        <v>44</v>
      </c>
      <c r="C12" s="63">
        <v>3946.4144594400004</v>
      </c>
      <c r="D12" s="63">
        <v>3861.0335808700011</v>
      </c>
      <c r="E12" s="63">
        <v>4051.8804634800003</v>
      </c>
      <c r="F12" s="63">
        <v>4285.4131467699999</v>
      </c>
      <c r="G12" s="63">
        <v>4028.1673575399996</v>
      </c>
      <c r="H12" s="63">
        <v>4640.6912325900003</v>
      </c>
      <c r="I12" s="63">
        <v>4329.2506610599994</v>
      </c>
      <c r="J12" s="63">
        <v>4999.8749096999991</v>
      </c>
      <c r="K12" s="63">
        <v>4988.7573884800004</v>
      </c>
      <c r="L12" s="63">
        <v>4480.5252302200024</v>
      </c>
      <c r="M12" s="63">
        <v>3985.854751249999</v>
      </c>
      <c r="N12" s="63">
        <v>4265.3538495100001</v>
      </c>
      <c r="O12" s="64">
        <f t="shared" si="0"/>
        <v>51863.217030910004</v>
      </c>
      <c r="P12" s="12"/>
      <c r="Q12" s="13"/>
    </row>
    <row r="13" spans="2:17" s="14" customFormat="1" ht="15.75" customHeight="1" x14ac:dyDescent="0.25">
      <c r="B13" s="58" t="s">
        <v>45</v>
      </c>
      <c r="C13" s="63">
        <v>4834.8310000000001</v>
      </c>
      <c r="D13" s="63">
        <v>4171.3500000000004</v>
      </c>
      <c r="E13" s="63">
        <v>4277.549</v>
      </c>
      <c r="F13" s="63">
        <v>4185.6310000000003</v>
      </c>
      <c r="G13" s="63">
        <v>4319.8134322799997</v>
      </c>
      <c r="H13" s="63">
        <v>4335.0167260899998</v>
      </c>
      <c r="I13" s="63">
        <v>5022.2292470200009</v>
      </c>
      <c r="J13" s="63">
        <v>5328.6052544799995</v>
      </c>
      <c r="K13" s="63">
        <v>5018.64313907</v>
      </c>
      <c r="L13" s="63">
        <v>4844.4858240000003</v>
      </c>
      <c r="M13" s="63">
        <v>4753.69265722</v>
      </c>
      <c r="N13" s="63">
        <v>4372.89725017</v>
      </c>
      <c r="O13" s="64">
        <f t="shared" si="0"/>
        <v>55464.744530330005</v>
      </c>
      <c r="P13" s="12"/>
      <c r="Q13" s="13"/>
    </row>
    <row r="14" spans="2:17" s="14" customFormat="1" ht="15.75" customHeight="1" x14ac:dyDescent="0.25">
      <c r="B14" s="59" t="s">
        <v>46</v>
      </c>
      <c r="C14" s="63">
        <v>6303.1468193500004</v>
      </c>
      <c r="D14" s="63">
        <v>6331.2187633800004</v>
      </c>
      <c r="E14" s="63">
        <v>6562.3902926800001</v>
      </c>
      <c r="F14" s="63">
        <v>7069.8254518900003</v>
      </c>
      <c r="G14" s="63">
        <v>7117.5520317299997</v>
      </c>
      <c r="H14" s="63">
        <v>7964.7977028900004</v>
      </c>
      <c r="I14" s="63">
        <v>7133.2120580600003</v>
      </c>
      <c r="J14" s="63">
        <v>8068.2147523200001</v>
      </c>
      <c r="K14" s="63">
        <v>7734.0799368799999</v>
      </c>
      <c r="L14" s="63">
        <v>7765.04514156</v>
      </c>
      <c r="M14" s="63">
        <v>8306.1242900200014</v>
      </c>
      <c r="N14" s="63">
        <v>6780.3321909200004</v>
      </c>
      <c r="O14" s="64">
        <f t="shared" si="0"/>
        <v>87135.939431680017</v>
      </c>
      <c r="P14" s="12"/>
      <c r="Q14" s="13"/>
    </row>
    <row r="15" spans="2:17" s="14" customFormat="1" ht="15.75" customHeight="1" x14ac:dyDescent="0.25">
      <c r="B15" s="58" t="s">
        <v>47</v>
      </c>
      <c r="C15" s="63">
        <v>6591.9141250000002</v>
      </c>
      <c r="D15" s="63">
        <v>5668.047611</v>
      </c>
      <c r="E15" s="63">
        <v>5990.563854</v>
      </c>
      <c r="F15" s="63">
        <v>7025.18174</v>
      </c>
      <c r="G15" s="63">
        <v>6165.6761560000004</v>
      </c>
      <c r="H15" s="63">
        <v>7524.7902260000001</v>
      </c>
      <c r="I15" s="63">
        <v>7582.8404300000002</v>
      </c>
      <c r="J15" s="63">
        <v>7811.8439660000004</v>
      </c>
      <c r="K15" s="63">
        <v>7763.6978259999996</v>
      </c>
      <c r="L15" s="63">
        <v>7358.1804970000003</v>
      </c>
      <c r="M15" s="63">
        <v>7973.2398409999996</v>
      </c>
      <c r="N15" s="63">
        <v>7204.3102959999997</v>
      </c>
      <c r="O15" s="64">
        <f t="shared" si="0"/>
        <v>84660.286567999996</v>
      </c>
      <c r="P15" s="12"/>
      <c r="Q15" s="13"/>
    </row>
    <row r="16" spans="2:17" s="14" customFormat="1" ht="15.75" customHeight="1" x14ac:dyDescent="0.25">
      <c r="B16" s="58" t="s">
        <v>48</v>
      </c>
      <c r="C16" s="63">
        <v>1002.52911334</v>
      </c>
      <c r="D16" s="63">
        <v>1641.23315699</v>
      </c>
      <c r="E16" s="63">
        <v>1514.6412827300001</v>
      </c>
      <c r="F16" s="63">
        <v>1609.7092612700001</v>
      </c>
      <c r="G16" s="63">
        <v>1791.1072486400001</v>
      </c>
      <c r="H16" s="63">
        <v>1778.92352347</v>
      </c>
      <c r="I16" s="63">
        <v>1838.0915718700001</v>
      </c>
      <c r="J16" s="63">
        <v>1954.4974448200001</v>
      </c>
      <c r="K16" s="63">
        <v>1884.2475933000001</v>
      </c>
      <c r="L16" s="63">
        <v>1647.3739055000001</v>
      </c>
      <c r="M16" s="63">
        <v>1576.2725288699999</v>
      </c>
      <c r="N16" s="63">
        <v>1507.83682518</v>
      </c>
      <c r="O16" s="64">
        <f t="shared" si="0"/>
        <v>19746.463455979996</v>
      </c>
      <c r="P16" s="12"/>
      <c r="Q16" s="13"/>
    </row>
    <row r="17" spans="2:17" s="14" customFormat="1" ht="15.75" customHeight="1" x14ac:dyDescent="0.25">
      <c r="B17" s="58" t="s">
        <v>49</v>
      </c>
      <c r="C17" s="63">
        <v>2684.541577</v>
      </c>
      <c r="D17" s="63">
        <v>2260.3941500000001</v>
      </c>
      <c r="E17" s="63">
        <v>2058.6100879999999</v>
      </c>
      <c r="F17" s="63">
        <v>2841.188071</v>
      </c>
      <c r="G17" s="63">
        <v>2562.3681499999998</v>
      </c>
      <c r="H17" s="63">
        <v>2842.3566270000001</v>
      </c>
      <c r="I17" s="63">
        <v>3089.2269040000001</v>
      </c>
      <c r="J17" s="63">
        <v>2905.701626</v>
      </c>
      <c r="K17" s="63">
        <v>2912.3244850000001</v>
      </c>
      <c r="L17" s="63">
        <v>3001.0414649999998</v>
      </c>
      <c r="M17" s="63">
        <v>2823.637424</v>
      </c>
      <c r="N17" s="63">
        <v>2591.83806</v>
      </c>
      <c r="O17" s="64">
        <f t="shared" si="0"/>
        <v>32573.228627000004</v>
      </c>
      <c r="P17" s="12"/>
      <c r="Q17" s="13"/>
    </row>
    <row r="18" spans="2:17" s="11" customFormat="1" ht="15.75" customHeight="1" x14ac:dyDescent="0.25">
      <c r="B18" s="58" t="s">
        <v>50</v>
      </c>
      <c r="C18" s="63">
        <v>2551.10964689</v>
      </c>
      <c r="D18" s="63">
        <v>2185.7797057799999</v>
      </c>
      <c r="E18" s="63">
        <v>2425.2765850699998</v>
      </c>
      <c r="F18" s="63">
        <v>2596.7813434200002</v>
      </c>
      <c r="G18" s="63">
        <v>2993.6409336000002</v>
      </c>
      <c r="H18" s="63">
        <v>2661.4131409500001</v>
      </c>
      <c r="I18" s="63">
        <v>2967.7951199499998</v>
      </c>
      <c r="J18" s="63">
        <v>3044.5384494599998</v>
      </c>
      <c r="K18" s="63">
        <v>3607.17081207</v>
      </c>
      <c r="L18" s="63">
        <v>3389.5728973599998</v>
      </c>
      <c r="M18" s="63">
        <v>2689.8684309800001</v>
      </c>
      <c r="N18" s="63">
        <v>3621.5374927399998</v>
      </c>
      <c r="O18" s="64">
        <f t="shared" si="0"/>
        <v>34734.484558269993</v>
      </c>
      <c r="P18" s="9"/>
      <c r="Q18" s="10"/>
    </row>
    <row r="19" spans="2:17" s="14" customFormat="1" ht="15.75" customHeight="1" x14ac:dyDescent="0.25">
      <c r="B19" s="58" t="s">
        <v>51</v>
      </c>
      <c r="C19" s="63">
        <v>1371.8890341399999</v>
      </c>
      <c r="D19" s="63">
        <v>1582.9316474499999</v>
      </c>
      <c r="E19" s="63">
        <v>1670.51006917</v>
      </c>
      <c r="F19" s="63">
        <v>1746.80519007</v>
      </c>
      <c r="G19" s="63">
        <v>1855.0436703299999</v>
      </c>
      <c r="H19" s="63">
        <v>1661.5245343499998</v>
      </c>
      <c r="I19" s="63">
        <v>1758.7201824799999</v>
      </c>
      <c r="J19" s="63">
        <v>2011.0572656700001</v>
      </c>
      <c r="K19" s="63">
        <v>1876.3462956599999</v>
      </c>
      <c r="L19" s="63">
        <v>1932.6709815300001</v>
      </c>
      <c r="M19" s="63">
        <v>1709.9037285100001</v>
      </c>
      <c r="N19" s="63">
        <v>1570.6318646499999</v>
      </c>
      <c r="O19" s="64">
        <f t="shared" si="0"/>
        <v>20748.034464009997</v>
      </c>
      <c r="P19" s="12"/>
      <c r="Q19" s="13"/>
    </row>
    <row r="20" spans="2:17" s="14" customFormat="1" ht="15.75" customHeight="1" x14ac:dyDescent="0.25">
      <c r="B20" s="58" t="s">
        <v>52</v>
      </c>
      <c r="C20" s="63">
        <v>9880.2508140000009</v>
      </c>
      <c r="D20" s="63">
        <v>8067.0618519999998</v>
      </c>
      <c r="E20" s="63">
        <v>8820.2130649999999</v>
      </c>
      <c r="F20" s="63">
        <v>9172.3365389999999</v>
      </c>
      <c r="G20" s="63">
        <v>11085.982469</v>
      </c>
      <c r="H20" s="63">
        <v>9632.324627</v>
      </c>
      <c r="I20" s="63">
        <v>11443.915057</v>
      </c>
      <c r="J20" s="63">
        <v>11272.048155</v>
      </c>
      <c r="K20" s="63">
        <v>12989.215674999999</v>
      </c>
      <c r="L20" s="63">
        <v>12185.440221000001</v>
      </c>
      <c r="M20" s="63">
        <v>11400.434512</v>
      </c>
      <c r="N20" s="63">
        <v>11324.302194</v>
      </c>
      <c r="O20" s="64">
        <f t="shared" si="0"/>
        <v>127273.52518000001</v>
      </c>
      <c r="P20" s="12"/>
      <c r="Q20" s="13"/>
    </row>
    <row r="21" spans="2:17" s="14" customFormat="1" ht="15.75" customHeight="1" x14ac:dyDescent="0.25">
      <c r="B21" s="58" t="s">
        <v>53</v>
      </c>
      <c r="C21" s="63">
        <v>3864.8522220700002</v>
      </c>
      <c r="D21" s="63">
        <v>4976.5077115799995</v>
      </c>
      <c r="E21" s="63">
        <v>4601.9741959100002</v>
      </c>
      <c r="F21" s="63">
        <v>4144.6524160500003</v>
      </c>
      <c r="G21" s="63">
        <v>4673.1371768100007</v>
      </c>
      <c r="H21" s="63">
        <v>4794.0366718400001</v>
      </c>
      <c r="I21" s="63">
        <v>5147.4433878899999</v>
      </c>
      <c r="J21" s="63">
        <v>4950.6733038500006</v>
      </c>
      <c r="K21" s="63">
        <v>5134.12112892</v>
      </c>
      <c r="L21" s="63">
        <v>4615.9393742299999</v>
      </c>
      <c r="M21" s="63">
        <v>4388.9350820200007</v>
      </c>
      <c r="N21" s="63">
        <v>4658.6767007099997</v>
      </c>
      <c r="O21" s="64">
        <f t="shared" si="0"/>
        <v>55950.94937188</v>
      </c>
      <c r="P21" s="15"/>
      <c r="Q21" s="13"/>
    </row>
    <row r="22" spans="2:17" s="14" customFormat="1" ht="15.75" customHeight="1" x14ac:dyDescent="0.25">
      <c r="B22" s="58" t="s">
        <v>54</v>
      </c>
      <c r="C22" s="63">
        <v>6696.9530777700002</v>
      </c>
      <c r="D22" s="63">
        <v>9014.9071764199998</v>
      </c>
      <c r="E22" s="63">
        <v>7771.6077886400008</v>
      </c>
      <c r="F22" s="63">
        <v>13802.6316479</v>
      </c>
      <c r="G22" s="63">
        <v>9216.8022865000003</v>
      </c>
      <c r="H22" s="63">
        <v>10583.99117404</v>
      </c>
      <c r="I22" s="63">
        <v>11153.68192128</v>
      </c>
      <c r="J22" s="63">
        <v>10128.839803280001</v>
      </c>
      <c r="K22" s="63">
        <v>10350.37046048</v>
      </c>
      <c r="L22" s="63">
        <v>9565.5455336699997</v>
      </c>
      <c r="M22" s="63">
        <v>9197.5428099599994</v>
      </c>
      <c r="N22" s="63">
        <v>9497.3614644500012</v>
      </c>
      <c r="O22" s="64">
        <f t="shared" si="0"/>
        <v>116980.23514439</v>
      </c>
      <c r="P22" s="15"/>
      <c r="Q22" s="13"/>
    </row>
    <row r="23" spans="2:17" s="14" customFormat="1" ht="15.75" customHeight="1" x14ac:dyDescent="0.25">
      <c r="B23" s="58" t="s">
        <v>55</v>
      </c>
      <c r="C23" s="63">
        <v>3275.6731754399998</v>
      </c>
      <c r="D23" s="63">
        <v>3902.7606968300001</v>
      </c>
      <c r="E23" s="63">
        <v>4028.7364191199999</v>
      </c>
      <c r="F23" s="63">
        <v>3808.29767687</v>
      </c>
      <c r="G23" s="63">
        <v>4443.8237525900004</v>
      </c>
      <c r="H23" s="63">
        <v>4753.4757468300004</v>
      </c>
      <c r="I23" s="63">
        <v>3571.8214412399998</v>
      </c>
      <c r="J23" s="63">
        <v>3850.8998412400001</v>
      </c>
      <c r="K23" s="63">
        <v>3837.5878816700001</v>
      </c>
      <c r="L23" s="63">
        <v>4534.0303280600001</v>
      </c>
      <c r="M23" s="63">
        <v>3790.1997735099999</v>
      </c>
      <c r="N23" s="63">
        <v>3872.1643101300001</v>
      </c>
      <c r="O23" s="64">
        <f t="shared" si="0"/>
        <v>47669.47104353</v>
      </c>
      <c r="P23" s="15"/>
      <c r="Q23" s="13"/>
    </row>
    <row r="24" spans="2:17" s="14" customFormat="1" ht="15.75" customHeight="1" x14ac:dyDescent="0.25">
      <c r="B24" s="58" t="s">
        <v>56</v>
      </c>
      <c r="C24" s="63">
        <v>7082.2844521300003</v>
      </c>
      <c r="D24" s="63">
        <v>5099.3834794799996</v>
      </c>
      <c r="E24" s="63">
        <v>4147.8218956199999</v>
      </c>
      <c r="F24" s="63">
        <v>5405.3499336300001</v>
      </c>
      <c r="G24" s="63">
        <v>7199.3458142500003</v>
      </c>
      <c r="H24" s="63">
        <v>5622.4350128599999</v>
      </c>
      <c r="I24" s="63">
        <v>8462.9697397199998</v>
      </c>
      <c r="J24" s="63">
        <v>7113.4443368599996</v>
      </c>
      <c r="K24" s="63">
        <v>7589.3066171399996</v>
      </c>
      <c r="L24" s="63">
        <v>6247.9289421000003</v>
      </c>
      <c r="M24" s="63">
        <v>6149.1750656300001</v>
      </c>
      <c r="N24" s="63">
        <v>5780.0398803300004</v>
      </c>
      <c r="O24" s="64">
        <f t="shared" si="0"/>
        <v>75899.485169749998</v>
      </c>
      <c r="P24" s="15"/>
      <c r="Q24" s="13"/>
    </row>
    <row r="25" spans="2:17" s="14" customFormat="1" ht="15.75" customHeight="1" x14ac:dyDescent="0.25">
      <c r="B25" s="58" t="s">
        <v>57</v>
      </c>
      <c r="C25" s="63">
        <v>2015.6929256199994</v>
      </c>
      <c r="D25" s="63">
        <v>1969.9119020000001</v>
      </c>
      <c r="E25" s="63">
        <v>2146.9403950000001</v>
      </c>
      <c r="F25" s="63">
        <v>2052.0859620000001</v>
      </c>
      <c r="G25" s="63">
        <v>2397.2778320000002</v>
      </c>
      <c r="H25" s="63">
        <v>2456.662597</v>
      </c>
      <c r="I25" s="63">
        <v>2637.1984640000001</v>
      </c>
      <c r="J25" s="63">
        <v>2680.1644209999999</v>
      </c>
      <c r="K25" s="63">
        <v>2684.6947180000002</v>
      </c>
      <c r="L25" s="63">
        <v>2795.010941</v>
      </c>
      <c r="M25" s="63">
        <v>2584.2764750000001</v>
      </c>
      <c r="N25" s="63">
        <v>2467.3194319999998</v>
      </c>
      <c r="O25" s="64">
        <f t="shared" si="0"/>
        <v>28887.23606462</v>
      </c>
      <c r="P25" s="15"/>
      <c r="Q25" s="13"/>
    </row>
    <row r="26" spans="2:17" s="14" customFormat="1" ht="15.75" customHeight="1" x14ac:dyDescent="0.25">
      <c r="B26" s="58" t="s">
        <v>58</v>
      </c>
      <c r="C26" s="63">
        <v>2485.2414226999999</v>
      </c>
      <c r="D26" s="63">
        <v>2178.7989374899998</v>
      </c>
      <c r="E26" s="63">
        <v>2378.3486282700001</v>
      </c>
      <c r="F26" s="63">
        <v>2424.0567608599999</v>
      </c>
      <c r="G26" s="63">
        <v>2368.65486706</v>
      </c>
      <c r="H26" s="63">
        <v>2524.5233726299998</v>
      </c>
      <c r="I26" s="63">
        <v>2737.18489331</v>
      </c>
      <c r="J26" s="63">
        <v>2651.8497028500001</v>
      </c>
      <c r="K26" s="63">
        <v>2889.8139510300002</v>
      </c>
      <c r="L26" s="63">
        <v>2963.5415266</v>
      </c>
      <c r="M26" s="63">
        <v>3171.4662426899999</v>
      </c>
      <c r="N26" s="63">
        <v>2937.3168810000002</v>
      </c>
      <c r="O26" s="64">
        <f t="shared" si="0"/>
        <v>31710.797186489992</v>
      </c>
      <c r="P26" s="15"/>
      <c r="Q26" s="13"/>
    </row>
    <row r="27" spans="2:17" s="14" customFormat="1" ht="15.75" customHeight="1" x14ac:dyDescent="0.25">
      <c r="B27" s="58" t="s">
        <v>59</v>
      </c>
      <c r="C27" s="63">
        <v>3373.1460140300001</v>
      </c>
      <c r="D27" s="63">
        <v>2918.2375627900001</v>
      </c>
      <c r="E27" s="63">
        <v>2901.59936763</v>
      </c>
      <c r="F27" s="63">
        <v>2697.44269364</v>
      </c>
      <c r="G27" s="63">
        <v>3474.3722983799998</v>
      </c>
      <c r="H27" s="63">
        <v>2979.7570697699998</v>
      </c>
      <c r="I27" s="63">
        <v>3325.3785127699998</v>
      </c>
      <c r="J27" s="63">
        <v>3249.71592947</v>
      </c>
      <c r="K27" s="63">
        <v>3355.8741489200002</v>
      </c>
      <c r="L27" s="63">
        <v>3340.2311707700001</v>
      </c>
      <c r="M27" s="63">
        <v>2824.4680044699999</v>
      </c>
      <c r="N27" s="63">
        <v>3406.7130374899998</v>
      </c>
      <c r="O27" s="64">
        <f t="shared" si="0"/>
        <v>37846.935810130002</v>
      </c>
      <c r="P27" s="15"/>
      <c r="Q27" s="13"/>
    </row>
    <row r="28" spans="2:17" s="14" customFormat="1" ht="15.75" customHeight="1" x14ac:dyDescent="0.25">
      <c r="B28" s="58" t="s">
        <v>88</v>
      </c>
      <c r="C28" s="63">
        <v>17567.15816522</v>
      </c>
      <c r="D28" s="63">
        <v>16745.597065620001</v>
      </c>
      <c r="E28" s="63">
        <v>16427.794706000001</v>
      </c>
      <c r="F28" s="63">
        <v>19463.351941869998</v>
      </c>
      <c r="G28" s="63">
        <v>17876.737645339999</v>
      </c>
      <c r="H28" s="63">
        <v>19858.35530512</v>
      </c>
      <c r="I28" s="63">
        <v>21952.712022020001</v>
      </c>
      <c r="J28" s="63">
        <v>23730.08239046</v>
      </c>
      <c r="K28" s="63">
        <v>25336.889637839999</v>
      </c>
      <c r="L28" s="63">
        <v>24353.045729009998</v>
      </c>
      <c r="M28" s="63">
        <v>23935.68895032</v>
      </c>
      <c r="N28" s="63">
        <v>22328.673309000002</v>
      </c>
      <c r="O28" s="64">
        <f t="shared" si="0"/>
        <v>249576.08686782001</v>
      </c>
      <c r="P28" s="15"/>
      <c r="Q28" s="13"/>
    </row>
    <row r="29" spans="2:17" s="11" customFormat="1" ht="15.75" customHeight="1" x14ac:dyDescent="0.25">
      <c r="B29" s="58" t="s">
        <v>61</v>
      </c>
      <c r="C29" s="63">
        <v>1515.05970901</v>
      </c>
      <c r="D29" s="63">
        <v>1275.83544949</v>
      </c>
      <c r="E29" s="63">
        <v>1407.6053905899998</v>
      </c>
      <c r="F29" s="63">
        <v>1442.40394223</v>
      </c>
      <c r="G29" s="63">
        <v>2253.5846053800001</v>
      </c>
      <c r="H29" s="63">
        <v>2057.2754419299999</v>
      </c>
      <c r="I29" s="63">
        <v>2325.4267919700001</v>
      </c>
      <c r="J29" s="63">
        <v>2456.2140964199998</v>
      </c>
      <c r="K29" s="63">
        <v>3114.3738418499997</v>
      </c>
      <c r="L29" s="63">
        <v>3159.4783429399999</v>
      </c>
      <c r="M29" s="63">
        <v>2841.6038251999998</v>
      </c>
      <c r="N29" s="63">
        <v>1924.3093636900001</v>
      </c>
      <c r="O29" s="64">
        <f t="shared" si="0"/>
        <v>25773.170800700002</v>
      </c>
      <c r="P29" s="12"/>
      <c r="Q29" s="10"/>
    </row>
    <row r="30" spans="2:17" s="14" customFormat="1" ht="15.75" customHeight="1" x14ac:dyDescent="0.25">
      <c r="B30" s="58" t="s">
        <v>62</v>
      </c>
      <c r="C30" s="63">
        <v>7804.9337930000002</v>
      </c>
      <c r="D30" s="63">
        <v>8503.3654220000008</v>
      </c>
      <c r="E30" s="63">
        <v>8919.3089189999992</v>
      </c>
      <c r="F30" s="63">
        <v>9678.4736489999996</v>
      </c>
      <c r="G30" s="63">
        <v>10683.922113000001</v>
      </c>
      <c r="H30" s="63">
        <v>10204.698012000001</v>
      </c>
      <c r="I30" s="63">
        <v>9950.1128360000002</v>
      </c>
      <c r="J30" s="63">
        <v>11722.51476</v>
      </c>
      <c r="K30" s="63">
        <v>10654.142891</v>
      </c>
      <c r="L30" s="63">
        <v>10168.272317000001</v>
      </c>
      <c r="M30" s="63">
        <v>10815.966367000001</v>
      </c>
      <c r="N30" s="63">
        <v>10145.219220000001</v>
      </c>
      <c r="O30" s="64">
        <f t="shared" si="0"/>
        <v>119250.930299</v>
      </c>
      <c r="P30" s="12"/>
      <c r="Q30" s="13"/>
    </row>
    <row r="31" spans="2:17" s="14" customFormat="1" ht="15.75" customHeight="1" x14ac:dyDescent="0.25">
      <c r="B31" s="58" t="s">
        <v>63</v>
      </c>
      <c r="C31" s="63">
        <v>1714.6623086900001</v>
      </c>
      <c r="D31" s="63">
        <v>1511.4918180899999</v>
      </c>
      <c r="E31" s="63">
        <v>1821.3511064900001</v>
      </c>
      <c r="F31" s="63">
        <v>1472.22633365</v>
      </c>
      <c r="G31" s="63">
        <v>1837.27058975</v>
      </c>
      <c r="H31" s="63">
        <v>1631.25033246</v>
      </c>
      <c r="I31" s="63">
        <v>1685.9031194900001</v>
      </c>
      <c r="J31" s="63">
        <v>1926.5841781099998</v>
      </c>
      <c r="K31" s="63">
        <v>2001.7622049000001</v>
      </c>
      <c r="L31" s="63">
        <v>1483.47303969</v>
      </c>
      <c r="M31" s="63">
        <v>2486.59368838</v>
      </c>
      <c r="N31" s="63">
        <v>1764.7</v>
      </c>
      <c r="O31" s="64">
        <f t="shared" si="0"/>
        <v>21337.268719700001</v>
      </c>
      <c r="P31" s="12"/>
      <c r="Q31" s="13"/>
    </row>
    <row r="32" spans="2:17" ht="22.5" customHeight="1" x14ac:dyDescent="0.2">
      <c r="B32" s="65" t="s">
        <v>84</v>
      </c>
      <c r="C32" s="66">
        <f>SUM(C8:C31)</f>
        <v>294644.76566303003</v>
      </c>
      <c r="D32" s="66">
        <f>SUM(D8:D31)</f>
        <v>269482.02665502997</v>
      </c>
      <c r="E32" s="66">
        <f t="shared" ref="E32:M32" si="1">SUM(E8:E31)</f>
        <v>274527.43307387998</v>
      </c>
      <c r="F32" s="66">
        <f>SUM(F8:F31)</f>
        <v>308417.40898582008</v>
      </c>
      <c r="G32" s="66">
        <f t="shared" si="1"/>
        <v>323108.36250734009</v>
      </c>
      <c r="H32" s="66">
        <f t="shared" si="1"/>
        <v>328834.56298809999</v>
      </c>
      <c r="I32" s="66">
        <f t="shared" si="1"/>
        <v>349062.29112366005</v>
      </c>
      <c r="J32" s="66">
        <f t="shared" si="1"/>
        <v>372282.37283106003</v>
      </c>
      <c r="K32" s="66">
        <f t="shared" si="1"/>
        <v>379680.26257778</v>
      </c>
      <c r="L32" s="66">
        <f>SUM(L8:L31)</f>
        <v>367699.37704482011</v>
      </c>
      <c r="M32" s="66">
        <f t="shared" si="1"/>
        <v>369848.76156762009</v>
      </c>
      <c r="N32" s="66">
        <f>SUM(N8:N31)</f>
        <v>347922.66759873996</v>
      </c>
      <c r="O32" s="66">
        <f>SUM(O8:O31)</f>
        <v>3985510.2926168791</v>
      </c>
      <c r="P32" s="12"/>
    </row>
    <row r="33" spans="2:15" s="28" customFormat="1" ht="21.75" customHeight="1" x14ac:dyDescent="0.2">
      <c r="B33" s="83" t="s">
        <v>30</v>
      </c>
      <c r="C33" s="86"/>
      <c r="D33" s="86"/>
      <c r="E33" s="86"/>
    </row>
    <row r="34" spans="2:15" s="28" customFormat="1" ht="16.5" customHeight="1" x14ac:dyDescent="0.2">
      <c r="B34" s="84" t="s">
        <v>86</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31</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B1:Q48"/>
  <sheetViews>
    <sheetView showGridLines="0" zoomScale="85" zoomScaleNormal="85" workbookViewId="0">
      <selection activeCell="C32" sqref="C32:O32"/>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7" t="str">
        <f>+IIBB!N1</f>
        <v>Última actualización</v>
      </c>
      <c r="O1" s="98">
        <f>+IIBB!O1</f>
        <v>46279</v>
      </c>
    </row>
    <row r="2" spans="2:17" ht="21" customHeight="1" x14ac:dyDescent="0.3">
      <c r="B2" s="101" t="s">
        <v>3</v>
      </c>
      <c r="C2" s="101"/>
      <c r="D2" s="101"/>
      <c r="E2" s="101"/>
      <c r="F2" s="101"/>
      <c r="G2" s="101"/>
      <c r="H2" s="101"/>
      <c r="I2" s="101"/>
      <c r="J2" s="101"/>
      <c r="K2" s="101"/>
      <c r="L2" s="101"/>
      <c r="M2" s="101"/>
      <c r="N2" s="101"/>
      <c r="O2" s="101"/>
    </row>
    <row r="3" spans="2:17" ht="21" customHeight="1" x14ac:dyDescent="0.3">
      <c r="B3" s="102">
        <f>+IIBB!B3</f>
        <v>2025</v>
      </c>
      <c r="C3" s="103"/>
      <c r="D3" s="103"/>
      <c r="E3" s="103"/>
      <c r="F3" s="103"/>
      <c r="G3" s="103"/>
      <c r="H3" s="103"/>
      <c r="I3" s="103"/>
      <c r="J3" s="103"/>
      <c r="K3" s="103"/>
      <c r="L3" s="103"/>
      <c r="M3" s="103"/>
      <c r="N3" s="103"/>
      <c r="O3" s="103"/>
    </row>
    <row r="4" spans="2:17" ht="21" customHeight="1" x14ac:dyDescent="0.25">
      <c r="B4" s="104" t="s">
        <v>6</v>
      </c>
      <c r="C4" s="104"/>
      <c r="D4" s="104"/>
      <c r="E4" s="104"/>
      <c r="F4" s="104"/>
      <c r="G4" s="104"/>
      <c r="H4" s="104"/>
      <c r="I4" s="104"/>
      <c r="J4" s="104"/>
      <c r="K4" s="104"/>
      <c r="L4" s="104"/>
      <c r="M4" s="104"/>
      <c r="N4" s="104"/>
      <c r="O4" s="104"/>
    </row>
    <row r="5" spans="2:17" ht="21" customHeight="1" x14ac:dyDescent="0.4">
      <c r="C5" s="5"/>
      <c r="D5" s="6"/>
      <c r="E5" s="6"/>
      <c r="F5" s="6"/>
      <c r="G5" s="6"/>
      <c r="H5" s="7"/>
      <c r="I5" s="6"/>
    </row>
    <row r="6" spans="2:17" ht="30" customHeight="1" x14ac:dyDescent="0.2">
      <c r="B6" s="62" t="s">
        <v>32</v>
      </c>
      <c r="C6" s="62" t="s">
        <v>73</v>
      </c>
      <c r="D6" s="62" t="s">
        <v>72</v>
      </c>
      <c r="E6" s="62" t="s">
        <v>74</v>
      </c>
      <c r="F6" s="62" t="s">
        <v>75</v>
      </c>
      <c r="G6" s="62" t="s">
        <v>76</v>
      </c>
      <c r="H6" s="62" t="s">
        <v>77</v>
      </c>
      <c r="I6" s="62" t="s">
        <v>78</v>
      </c>
      <c r="J6" s="62" t="s">
        <v>79</v>
      </c>
      <c r="K6" s="62" t="s">
        <v>80</v>
      </c>
      <c r="L6" s="62" t="s">
        <v>81</v>
      </c>
      <c r="M6" s="62" t="s">
        <v>82</v>
      </c>
      <c r="N6" s="62" t="s">
        <v>83</v>
      </c>
      <c r="O6" s="62" t="s">
        <v>84</v>
      </c>
    </row>
    <row r="7" spans="2:17" s="8" customFormat="1" ht="15" hidden="1" customHeight="1" x14ac:dyDescent="0.7">
      <c r="B7" s="23"/>
      <c r="C7" s="23"/>
      <c r="D7" s="24"/>
      <c r="E7" s="24"/>
      <c r="F7" s="25"/>
      <c r="G7" s="26"/>
      <c r="H7" s="27"/>
      <c r="I7" s="27"/>
      <c r="J7" s="27"/>
      <c r="K7" s="27"/>
    </row>
    <row r="8" spans="2:17" s="14" customFormat="1" ht="15.75" customHeight="1" x14ac:dyDescent="0.25">
      <c r="B8" s="58" t="s">
        <v>89</v>
      </c>
      <c r="C8" s="63">
        <v>9129.7000000000007</v>
      </c>
      <c r="D8" s="63">
        <v>71104.7</v>
      </c>
      <c r="E8" s="63">
        <v>21998.6</v>
      </c>
      <c r="F8" s="63">
        <v>51573.4</v>
      </c>
      <c r="G8" s="63">
        <v>15752.2</v>
      </c>
      <c r="H8" s="63">
        <v>50499.9</v>
      </c>
      <c r="I8" s="63">
        <v>20417.099999999999</v>
      </c>
      <c r="J8" s="63">
        <v>54621.5</v>
      </c>
      <c r="K8" s="63">
        <v>17568.3</v>
      </c>
      <c r="L8" s="63">
        <v>56507.1</v>
      </c>
      <c r="M8" s="63">
        <v>14446</v>
      </c>
      <c r="N8" s="63">
        <v>55232</v>
      </c>
      <c r="O8" s="64">
        <f>SUM(C8:N8)</f>
        <v>438850.49999999994</v>
      </c>
      <c r="P8" s="12"/>
      <c r="Q8" s="13"/>
    </row>
    <row r="9" spans="2:17" s="11" customFormat="1" ht="15.75" customHeight="1" x14ac:dyDescent="0.25">
      <c r="B9" s="58" t="s">
        <v>41</v>
      </c>
      <c r="C9" s="63">
        <v>13425.356202306186</v>
      </c>
      <c r="D9" s="63">
        <v>9909.1074886045863</v>
      </c>
      <c r="E9" s="63">
        <v>101253.38111747667</v>
      </c>
      <c r="F9" s="63">
        <v>53248.923106243463</v>
      </c>
      <c r="G9" s="63">
        <v>76307.439488083779</v>
      </c>
      <c r="H9" s="63">
        <v>43481.929126808012</v>
      </c>
      <c r="I9" s="63">
        <v>117595.26900584192</v>
      </c>
      <c r="J9" s="63">
        <v>34919.01143097067</v>
      </c>
      <c r="K9" s="63">
        <v>119778.8875622248</v>
      </c>
      <c r="L9" s="63">
        <v>36186.130137530548</v>
      </c>
      <c r="M9" s="63">
        <v>117718.48604831232</v>
      </c>
      <c r="N9" s="63">
        <v>37657.58562403699</v>
      </c>
      <c r="O9" s="64">
        <f>SUM(C9:N9)</f>
        <v>761481.50633843988</v>
      </c>
      <c r="P9" s="9"/>
      <c r="Q9" s="10"/>
    </row>
    <row r="10" spans="2:17" s="14" customFormat="1" ht="15.75" customHeight="1" x14ac:dyDescent="0.25">
      <c r="B10" s="58" t="s">
        <v>42</v>
      </c>
      <c r="C10" s="63">
        <v>540.03286381999999</v>
      </c>
      <c r="D10" s="63">
        <v>729.24574050999991</v>
      </c>
      <c r="E10" s="63">
        <v>1400.7854521700001</v>
      </c>
      <c r="F10" s="63">
        <v>1352.2360122999999</v>
      </c>
      <c r="G10" s="63">
        <v>1431.24352006</v>
      </c>
      <c r="H10" s="63">
        <v>939.37477406999994</v>
      </c>
      <c r="I10" s="63">
        <v>1039.18898117</v>
      </c>
      <c r="J10" s="63">
        <v>575.11329454999998</v>
      </c>
      <c r="K10" s="63">
        <v>575.36330926999995</v>
      </c>
      <c r="L10" s="63">
        <v>618.97982347000004</v>
      </c>
      <c r="M10" s="63">
        <v>408.53950318</v>
      </c>
      <c r="N10" s="63">
        <v>527.93750556999998</v>
      </c>
      <c r="O10" s="64">
        <f t="shared" ref="O10:O31" si="0">SUM(C10:N10)</f>
        <v>10138.04078014</v>
      </c>
      <c r="P10" s="12"/>
      <c r="Q10" s="13"/>
    </row>
    <row r="11" spans="2:17" s="14" customFormat="1" ht="15.75" customHeight="1" x14ac:dyDescent="0.25">
      <c r="B11" s="58" t="s">
        <v>43</v>
      </c>
      <c r="C11" s="63">
        <v>7699.6058700000003</v>
      </c>
      <c r="D11" s="63">
        <v>15781.694502</v>
      </c>
      <c r="E11" s="63">
        <v>21228.518539000001</v>
      </c>
      <c r="F11" s="63">
        <v>12523.924315</v>
      </c>
      <c r="G11" s="63">
        <v>7437.5085630000003</v>
      </c>
      <c r="H11" s="63">
        <v>6111.6058569999996</v>
      </c>
      <c r="I11" s="63">
        <v>7508.9838179999997</v>
      </c>
      <c r="J11" s="63">
        <v>7969.5905819999998</v>
      </c>
      <c r="K11" s="63">
        <v>7076.4874620000001</v>
      </c>
      <c r="L11" s="63">
        <v>8031.2999609999997</v>
      </c>
      <c r="M11" s="63">
        <v>7363.9388799999997</v>
      </c>
      <c r="N11" s="63">
        <v>8861.5225389999996</v>
      </c>
      <c r="O11" s="64">
        <f t="shared" si="0"/>
        <v>117594.680888</v>
      </c>
      <c r="P11" s="12"/>
      <c r="Q11" s="13"/>
    </row>
    <row r="12" spans="2:17" s="14" customFormat="1" ht="15.75" customHeight="1" x14ac:dyDescent="0.25">
      <c r="B12" s="58" t="s">
        <v>44</v>
      </c>
      <c r="C12" s="63">
        <v>0</v>
      </c>
      <c r="D12" s="63">
        <v>0</v>
      </c>
      <c r="E12" s="63">
        <v>0</v>
      </c>
      <c r="F12" s="63">
        <v>0</v>
      </c>
      <c r="G12" s="63">
        <v>0</v>
      </c>
      <c r="H12" s="63">
        <v>0</v>
      </c>
      <c r="I12" s="63">
        <v>0</v>
      </c>
      <c r="J12" s="63">
        <v>0</v>
      </c>
      <c r="K12" s="63">
        <v>0</v>
      </c>
      <c r="L12" s="63">
        <v>0</v>
      </c>
      <c r="M12" s="63">
        <v>0</v>
      </c>
      <c r="N12" s="63">
        <v>0</v>
      </c>
      <c r="O12" s="64">
        <f t="shared" si="0"/>
        <v>0</v>
      </c>
      <c r="P12" s="12"/>
      <c r="Q12" s="13"/>
    </row>
    <row r="13" spans="2:17" s="14" customFormat="1" ht="15.75" customHeight="1" x14ac:dyDescent="0.25">
      <c r="B13" s="58" t="s">
        <v>45</v>
      </c>
      <c r="C13" s="63">
        <v>0</v>
      </c>
      <c r="D13" s="63">
        <v>0</v>
      </c>
      <c r="E13" s="63">
        <v>0</v>
      </c>
      <c r="F13" s="63">
        <v>0</v>
      </c>
      <c r="G13" s="63">
        <v>0</v>
      </c>
      <c r="H13" s="63">
        <v>0</v>
      </c>
      <c r="I13" s="63">
        <v>0</v>
      </c>
      <c r="J13" s="63">
        <v>0</v>
      </c>
      <c r="K13" s="63">
        <v>0</v>
      </c>
      <c r="L13" s="63">
        <v>0</v>
      </c>
      <c r="M13" s="63">
        <v>0</v>
      </c>
      <c r="N13" s="63">
        <v>0</v>
      </c>
      <c r="O13" s="64">
        <f t="shared" si="0"/>
        <v>0</v>
      </c>
      <c r="P13" s="12"/>
      <c r="Q13" s="13"/>
    </row>
    <row r="14" spans="2:17" s="14" customFormat="1" ht="15.75" customHeight="1" x14ac:dyDescent="0.25">
      <c r="B14" s="59" t="s">
        <v>46</v>
      </c>
      <c r="C14" s="63">
        <v>0</v>
      </c>
      <c r="D14" s="63">
        <v>0</v>
      </c>
      <c r="E14" s="63">
        <v>0</v>
      </c>
      <c r="F14" s="63">
        <v>0</v>
      </c>
      <c r="G14" s="63">
        <v>0</v>
      </c>
      <c r="H14" s="63">
        <v>0</v>
      </c>
      <c r="I14" s="63">
        <v>0</v>
      </c>
      <c r="J14" s="63">
        <v>0</v>
      </c>
      <c r="K14" s="63">
        <v>0</v>
      </c>
      <c r="L14" s="63">
        <v>0</v>
      </c>
      <c r="M14" s="63">
        <v>0</v>
      </c>
      <c r="N14" s="63">
        <v>0</v>
      </c>
      <c r="O14" s="64">
        <f t="shared" si="0"/>
        <v>0</v>
      </c>
      <c r="P14" s="12"/>
      <c r="Q14" s="13"/>
    </row>
    <row r="15" spans="2:17" s="14" customFormat="1" ht="15.75" customHeight="1" x14ac:dyDescent="0.25">
      <c r="B15" s="58" t="s">
        <v>47</v>
      </c>
      <c r="C15" s="63">
        <v>1475.741843</v>
      </c>
      <c r="D15" s="63">
        <v>1028.7191600000001</v>
      </c>
      <c r="E15" s="63">
        <v>21004.953916999999</v>
      </c>
      <c r="F15" s="63">
        <v>3288.1089830000001</v>
      </c>
      <c r="G15" s="63">
        <v>12765.362649999999</v>
      </c>
      <c r="H15" s="63">
        <v>4223.3590039999999</v>
      </c>
      <c r="I15" s="63">
        <v>12903.069669</v>
      </c>
      <c r="J15" s="63">
        <v>5461.6319229999999</v>
      </c>
      <c r="K15" s="63">
        <v>15822.354481</v>
      </c>
      <c r="L15" s="63">
        <v>5307.9424769999996</v>
      </c>
      <c r="M15" s="63">
        <v>13853.807986</v>
      </c>
      <c r="N15" s="63">
        <v>4548.5577000000003</v>
      </c>
      <c r="O15" s="64">
        <f t="shared" si="0"/>
        <v>101683.60979300001</v>
      </c>
      <c r="P15" s="12"/>
      <c r="Q15" s="13"/>
    </row>
    <row r="16" spans="2:17" s="14" customFormat="1" ht="15.75" customHeight="1" x14ac:dyDescent="0.25">
      <c r="B16" s="58" t="s">
        <v>48</v>
      </c>
      <c r="C16" s="63">
        <v>0</v>
      </c>
      <c r="D16" s="63">
        <v>0</v>
      </c>
      <c r="E16" s="63">
        <v>0</v>
      </c>
      <c r="F16" s="63">
        <v>0</v>
      </c>
      <c r="G16" s="63">
        <v>0</v>
      </c>
      <c r="H16" s="63">
        <v>0</v>
      </c>
      <c r="I16" s="63">
        <v>0</v>
      </c>
      <c r="J16" s="63">
        <v>0</v>
      </c>
      <c r="K16" s="63">
        <v>0</v>
      </c>
      <c r="L16" s="63">
        <v>0</v>
      </c>
      <c r="M16" s="63">
        <v>0</v>
      </c>
      <c r="N16" s="63">
        <v>0</v>
      </c>
      <c r="O16" s="64">
        <f t="shared" si="0"/>
        <v>0</v>
      </c>
      <c r="P16" s="12"/>
      <c r="Q16" s="13"/>
    </row>
    <row r="17" spans="2:17" s="14" customFormat="1" ht="15.75" customHeight="1" x14ac:dyDescent="0.25">
      <c r="B17" s="58" t="s">
        <v>49</v>
      </c>
      <c r="C17" s="63">
        <v>0</v>
      </c>
      <c r="D17" s="63">
        <v>0</v>
      </c>
      <c r="E17" s="63">
        <v>0</v>
      </c>
      <c r="F17" s="63">
        <v>0</v>
      </c>
      <c r="G17" s="63">
        <v>0</v>
      </c>
      <c r="H17" s="63">
        <v>0</v>
      </c>
      <c r="I17" s="63">
        <v>0</v>
      </c>
      <c r="J17" s="63">
        <v>0</v>
      </c>
      <c r="K17" s="63">
        <v>0</v>
      </c>
      <c r="L17" s="63">
        <v>0</v>
      </c>
      <c r="M17" s="63">
        <v>0</v>
      </c>
      <c r="N17" s="63">
        <v>0</v>
      </c>
      <c r="O17" s="64">
        <f t="shared" si="0"/>
        <v>0</v>
      </c>
      <c r="P17" s="12"/>
      <c r="Q17" s="13"/>
    </row>
    <row r="18" spans="2:17" s="11" customFormat="1" ht="15.75" customHeight="1" x14ac:dyDescent="0.25">
      <c r="B18" s="58" t="s">
        <v>50</v>
      </c>
      <c r="C18" s="63">
        <v>1425.2763097100001</v>
      </c>
      <c r="D18" s="63">
        <v>2767.37410649</v>
      </c>
      <c r="E18" s="63">
        <v>954.70501342</v>
      </c>
      <c r="F18" s="63">
        <v>2171.83401598</v>
      </c>
      <c r="G18" s="63">
        <v>1096.2609100899999</v>
      </c>
      <c r="H18" s="63">
        <v>2436.7688785999999</v>
      </c>
      <c r="I18" s="63">
        <v>1428.3289006299999</v>
      </c>
      <c r="J18" s="63">
        <v>2760.28855393</v>
      </c>
      <c r="K18" s="63">
        <v>1460.24801768</v>
      </c>
      <c r="L18" s="63">
        <v>3003.1132573099999</v>
      </c>
      <c r="M18" s="63">
        <v>1077.4365812599999</v>
      </c>
      <c r="N18" s="63">
        <v>3545.1894035800001</v>
      </c>
      <c r="O18" s="64">
        <f t="shared" si="0"/>
        <v>24126.823948680001</v>
      </c>
      <c r="P18" s="9"/>
      <c r="Q18" s="10"/>
    </row>
    <row r="19" spans="2:17" s="14" customFormat="1" ht="15.75" customHeight="1" x14ac:dyDescent="0.25">
      <c r="B19" s="58" t="s">
        <v>51</v>
      </c>
      <c r="C19" s="63">
        <v>641.63994872000001</v>
      </c>
      <c r="D19" s="63">
        <v>520.66154490999998</v>
      </c>
      <c r="E19" s="63">
        <v>683.35589811</v>
      </c>
      <c r="F19" s="63">
        <v>1148.4012466700001</v>
      </c>
      <c r="G19" s="63">
        <v>627.24072208999996</v>
      </c>
      <c r="H19" s="63">
        <v>561.39864287</v>
      </c>
      <c r="I19" s="63">
        <v>602.57223281999995</v>
      </c>
      <c r="J19" s="63">
        <v>594.34336481000003</v>
      </c>
      <c r="K19" s="63">
        <v>655.68082417000005</v>
      </c>
      <c r="L19" s="63">
        <v>551.08289116000003</v>
      </c>
      <c r="M19" s="63">
        <v>515.56527788000005</v>
      </c>
      <c r="N19" s="63">
        <v>495.45174553000004</v>
      </c>
      <c r="O19" s="64">
        <f t="shared" si="0"/>
        <v>7597.3943397400008</v>
      </c>
      <c r="P19" s="12"/>
      <c r="Q19" s="13"/>
    </row>
    <row r="20" spans="2:17" s="14" customFormat="1" ht="15.75" customHeight="1" x14ac:dyDescent="0.25">
      <c r="B20" s="58" t="s">
        <v>52</v>
      </c>
      <c r="C20" s="63">
        <v>3540.3950420000001</v>
      </c>
      <c r="D20" s="63">
        <v>8275.5280710000006</v>
      </c>
      <c r="E20" s="63">
        <v>21771.482841000001</v>
      </c>
      <c r="F20" s="63">
        <v>5167.0766640000002</v>
      </c>
      <c r="G20" s="63">
        <v>8187.9641529999999</v>
      </c>
      <c r="H20" s="63">
        <v>4204.0126309999996</v>
      </c>
      <c r="I20" s="63">
        <v>8428.8434990000005</v>
      </c>
      <c r="J20" s="63">
        <v>5037.4121493000002</v>
      </c>
      <c r="K20" s="63">
        <v>9243.1364718999994</v>
      </c>
      <c r="L20" s="63">
        <v>5775.6180654</v>
      </c>
      <c r="M20" s="63">
        <v>8676.9717247999997</v>
      </c>
      <c r="N20" s="63">
        <v>8759.0523790000007</v>
      </c>
      <c r="O20" s="64">
        <f t="shared" si="0"/>
        <v>97067.493691399999</v>
      </c>
      <c r="P20" s="12"/>
      <c r="Q20" s="13"/>
    </row>
    <row r="21" spans="2:17" s="14" customFormat="1" ht="15.75" customHeight="1" x14ac:dyDescent="0.25">
      <c r="B21" s="58" t="s">
        <v>53</v>
      </c>
      <c r="C21" s="63">
        <v>198.34507411000001</v>
      </c>
      <c r="D21" s="63">
        <v>458.66312048999998</v>
      </c>
      <c r="E21" s="63">
        <v>1571.5312440299999</v>
      </c>
      <c r="F21" s="63">
        <v>538.58997711000006</v>
      </c>
      <c r="G21" s="63">
        <v>809.02894719000005</v>
      </c>
      <c r="H21" s="63">
        <v>598.81220811000003</v>
      </c>
      <c r="I21" s="63">
        <v>530.53430188999994</v>
      </c>
      <c r="J21" s="63">
        <v>548.60470979999991</v>
      </c>
      <c r="K21" s="63">
        <v>477.07287751000001</v>
      </c>
      <c r="L21" s="63">
        <v>446.74065217000003</v>
      </c>
      <c r="M21" s="63">
        <v>279.73964538999996</v>
      </c>
      <c r="N21" s="63">
        <v>277.59834857999999</v>
      </c>
      <c r="O21" s="64">
        <f t="shared" si="0"/>
        <v>6735.2611063799995</v>
      </c>
      <c r="P21" s="15"/>
      <c r="Q21" s="13"/>
    </row>
    <row r="22" spans="2:17" s="14" customFormat="1" ht="15.75" customHeight="1" x14ac:dyDescent="0.25">
      <c r="B22" s="58" t="s">
        <v>54</v>
      </c>
      <c r="C22" s="63">
        <v>0</v>
      </c>
      <c r="D22" s="63">
        <v>0</v>
      </c>
      <c r="E22" s="63">
        <v>0</v>
      </c>
      <c r="F22" s="63">
        <v>0</v>
      </c>
      <c r="G22" s="63">
        <v>0</v>
      </c>
      <c r="H22" s="63">
        <v>0</v>
      </c>
      <c r="I22" s="63">
        <v>0</v>
      </c>
      <c r="J22" s="63">
        <v>0</v>
      </c>
      <c r="K22" s="63">
        <v>0</v>
      </c>
      <c r="L22" s="63">
        <v>0</v>
      </c>
      <c r="M22" s="63">
        <v>0</v>
      </c>
      <c r="N22" s="63">
        <v>0</v>
      </c>
      <c r="O22" s="64">
        <f t="shared" si="0"/>
        <v>0</v>
      </c>
      <c r="P22" s="15"/>
      <c r="Q22" s="13"/>
    </row>
    <row r="23" spans="2:17" s="14" customFormat="1" ht="15.75" customHeight="1" x14ac:dyDescent="0.25">
      <c r="B23" s="58" t="s">
        <v>55</v>
      </c>
      <c r="C23" s="63">
        <v>8020.9924691200004</v>
      </c>
      <c r="D23" s="63">
        <v>13785.684907770001</v>
      </c>
      <c r="E23" s="63">
        <v>7195.0333988000002</v>
      </c>
      <c r="F23" s="63">
        <v>3855.79575097</v>
      </c>
      <c r="G23" s="63">
        <v>3670.9896882100002</v>
      </c>
      <c r="H23" s="63">
        <v>3356.8706644600002</v>
      </c>
      <c r="I23" s="63">
        <v>4006.7365632999999</v>
      </c>
      <c r="J23" s="63">
        <v>3703.3913629399999</v>
      </c>
      <c r="K23" s="63">
        <v>3923.48014887</v>
      </c>
      <c r="L23" s="63">
        <v>3874.3381922399999</v>
      </c>
      <c r="M23" s="63">
        <v>3700.2858718399998</v>
      </c>
      <c r="N23" s="63">
        <v>4397.7817838600004</v>
      </c>
      <c r="O23" s="64">
        <f t="shared" si="0"/>
        <v>63491.380802380008</v>
      </c>
      <c r="P23" s="15"/>
      <c r="Q23" s="13"/>
    </row>
    <row r="24" spans="2:17" s="14" customFormat="1" ht="15.75" customHeight="1" x14ac:dyDescent="0.25">
      <c r="B24" s="58" t="s">
        <v>56</v>
      </c>
      <c r="C24" s="63">
        <v>0</v>
      </c>
      <c r="D24" s="63">
        <v>0</v>
      </c>
      <c r="E24" s="63">
        <v>0</v>
      </c>
      <c r="F24" s="63">
        <v>0</v>
      </c>
      <c r="G24" s="63">
        <v>0</v>
      </c>
      <c r="H24" s="63">
        <v>0</v>
      </c>
      <c r="I24" s="63">
        <v>0</v>
      </c>
      <c r="J24" s="63">
        <v>0</v>
      </c>
      <c r="K24" s="63">
        <v>0</v>
      </c>
      <c r="L24" s="63">
        <v>0</v>
      </c>
      <c r="M24" s="63">
        <v>0</v>
      </c>
      <c r="N24" s="63">
        <v>0</v>
      </c>
      <c r="O24" s="64">
        <f t="shared" si="0"/>
        <v>0</v>
      </c>
      <c r="P24" s="15"/>
      <c r="Q24" s="13"/>
    </row>
    <row r="25" spans="2:17" s="14" customFormat="1" ht="15.75" customHeight="1" x14ac:dyDescent="0.25">
      <c r="B25" s="58" t="s">
        <v>57</v>
      </c>
      <c r="C25" s="63">
        <v>989.13461413000016</v>
      </c>
      <c r="D25" s="63">
        <v>715.44749400000001</v>
      </c>
      <c r="E25" s="63">
        <v>707.098615</v>
      </c>
      <c r="F25" s="63">
        <v>2695.8975390000001</v>
      </c>
      <c r="G25" s="63">
        <v>4756.4702319999997</v>
      </c>
      <c r="H25" s="63">
        <v>1536.3427409999999</v>
      </c>
      <c r="I25" s="63">
        <v>1742.8371380000001</v>
      </c>
      <c r="J25" s="63">
        <v>1753.100512</v>
      </c>
      <c r="K25" s="63">
        <v>1578.1937579999999</v>
      </c>
      <c r="L25" s="63">
        <v>1496.035466</v>
      </c>
      <c r="M25" s="63">
        <v>1350.838364</v>
      </c>
      <c r="N25" s="63">
        <v>1901.2542309999999</v>
      </c>
      <c r="O25" s="64">
        <f t="shared" si="0"/>
        <v>21222.650704130003</v>
      </c>
      <c r="P25" s="15"/>
      <c r="Q25" s="13"/>
    </row>
    <row r="26" spans="2:17" s="14" customFormat="1" ht="15.75" customHeight="1" x14ac:dyDescent="0.25">
      <c r="B26" s="58" t="s">
        <v>58</v>
      </c>
      <c r="C26" s="63">
        <v>1198.2928961699999</v>
      </c>
      <c r="D26" s="63">
        <v>1817.81881555</v>
      </c>
      <c r="E26" s="63">
        <v>4904.0428560199998</v>
      </c>
      <c r="F26" s="63">
        <v>1350.6295929400001</v>
      </c>
      <c r="G26" s="63">
        <v>1178.5926243700001</v>
      </c>
      <c r="H26" s="63">
        <v>1294.53778059</v>
      </c>
      <c r="I26" s="63">
        <v>1522.4310612100001</v>
      </c>
      <c r="J26" s="63">
        <v>1343.87516082</v>
      </c>
      <c r="K26" s="63">
        <v>1486.8789112100001</v>
      </c>
      <c r="L26" s="63">
        <v>1474.00703699</v>
      </c>
      <c r="M26" s="63">
        <v>1505.2859092599999</v>
      </c>
      <c r="N26" s="63">
        <v>2691.7150769999998</v>
      </c>
      <c r="O26" s="64">
        <f t="shared" si="0"/>
        <v>21768.10772213</v>
      </c>
      <c r="P26" s="15"/>
      <c r="Q26" s="13"/>
    </row>
    <row r="27" spans="2:17" s="14" customFormat="1" ht="15.75" customHeight="1" x14ac:dyDescent="0.25">
      <c r="B27" s="58" t="s">
        <v>59</v>
      </c>
      <c r="C27" s="63">
        <v>0</v>
      </c>
      <c r="D27" s="63">
        <v>0</v>
      </c>
      <c r="E27" s="63">
        <v>0</v>
      </c>
      <c r="F27" s="63">
        <v>0</v>
      </c>
      <c r="G27" s="63">
        <v>0</v>
      </c>
      <c r="H27" s="63">
        <v>0</v>
      </c>
      <c r="I27" s="63">
        <v>0</v>
      </c>
      <c r="J27" s="63">
        <v>0</v>
      </c>
      <c r="K27" s="63">
        <v>0</v>
      </c>
      <c r="L27" s="63">
        <v>0</v>
      </c>
      <c r="M27" s="63">
        <v>0</v>
      </c>
      <c r="N27" s="63">
        <v>0</v>
      </c>
      <c r="O27" s="64">
        <f t="shared" si="0"/>
        <v>0</v>
      </c>
      <c r="P27" s="15"/>
      <c r="Q27" s="13"/>
    </row>
    <row r="28" spans="2:17" s="14" customFormat="1" ht="15.75" customHeight="1" x14ac:dyDescent="0.25">
      <c r="B28" s="58" t="s">
        <v>88</v>
      </c>
      <c r="C28" s="63">
        <v>110.67</v>
      </c>
      <c r="D28" s="63">
        <v>2190.54</v>
      </c>
      <c r="E28" s="63">
        <v>279.8</v>
      </c>
      <c r="F28" s="63">
        <v>357.08</v>
      </c>
      <c r="G28" s="63">
        <v>226.67</v>
      </c>
      <c r="H28" s="63">
        <v>508.06</v>
      </c>
      <c r="I28" s="63">
        <v>317.35000000000002</v>
      </c>
      <c r="J28" s="63">
        <v>256.73</v>
      </c>
      <c r="K28" s="63">
        <v>522.66999999999996</v>
      </c>
      <c r="L28" s="63">
        <v>271.57</v>
      </c>
      <c r="M28" s="63">
        <v>480.25</v>
      </c>
      <c r="N28" s="63">
        <v>340</v>
      </c>
      <c r="O28" s="64">
        <f t="shared" si="0"/>
        <v>5861.3899999999994</v>
      </c>
      <c r="P28" s="15"/>
      <c r="Q28" s="13"/>
    </row>
    <row r="29" spans="2:17" s="11" customFormat="1" ht="15.75" customHeight="1" x14ac:dyDescent="0.25">
      <c r="B29" s="58" t="s">
        <v>61</v>
      </c>
      <c r="C29" s="63">
        <v>513.08141443</v>
      </c>
      <c r="D29" s="63">
        <v>335.74239187000001</v>
      </c>
      <c r="E29" s="63">
        <v>2406.00072808</v>
      </c>
      <c r="F29" s="63">
        <v>2175.0019086100001</v>
      </c>
      <c r="G29" s="63">
        <v>1001.73289583</v>
      </c>
      <c r="H29" s="63">
        <v>794.10275540999999</v>
      </c>
      <c r="I29" s="63">
        <v>1106.5700666099999</v>
      </c>
      <c r="J29" s="63">
        <v>775.20128575000001</v>
      </c>
      <c r="K29" s="63">
        <v>1106.73249747</v>
      </c>
      <c r="L29" s="63">
        <v>627.00388772999997</v>
      </c>
      <c r="M29" s="63">
        <v>654.88920439000003</v>
      </c>
      <c r="N29" s="63">
        <v>1010.1883069600001</v>
      </c>
      <c r="O29" s="64">
        <f t="shared" si="0"/>
        <v>12506.247343139999</v>
      </c>
      <c r="P29" s="12"/>
      <c r="Q29" s="10"/>
    </row>
    <row r="30" spans="2:17" s="14" customFormat="1" ht="15.75" customHeight="1" x14ac:dyDescent="0.25">
      <c r="B30" s="58" t="s">
        <v>62</v>
      </c>
      <c r="C30" s="63">
        <v>5200.7537060000004</v>
      </c>
      <c r="D30" s="63">
        <v>2819.0869290000001</v>
      </c>
      <c r="E30" s="63">
        <v>2667.6349930000001</v>
      </c>
      <c r="F30" s="63">
        <v>2891.5994559999999</v>
      </c>
      <c r="G30" s="63">
        <v>2863.884513</v>
      </c>
      <c r="H30" s="63">
        <v>2990.3924820000002</v>
      </c>
      <c r="I30" s="63">
        <v>3407.6312400000002</v>
      </c>
      <c r="J30" s="63">
        <v>3138.6949500000001</v>
      </c>
      <c r="K30" s="63">
        <v>3014.540152</v>
      </c>
      <c r="L30" s="63">
        <v>3384.2735640000001</v>
      </c>
      <c r="M30" s="63">
        <v>3211.4587590000001</v>
      </c>
      <c r="N30" s="63">
        <v>11337.994208</v>
      </c>
      <c r="O30" s="64">
        <f t="shared" si="0"/>
        <v>46927.944952000005</v>
      </c>
      <c r="P30" s="12"/>
      <c r="Q30" s="13"/>
    </row>
    <row r="31" spans="2:17" s="14" customFormat="1" ht="15.75" customHeight="1" x14ac:dyDescent="0.25">
      <c r="B31" s="58" t="s">
        <v>63</v>
      </c>
      <c r="C31" s="63">
        <v>0</v>
      </c>
      <c r="D31" s="63">
        <v>0</v>
      </c>
      <c r="E31" s="63">
        <v>0</v>
      </c>
      <c r="F31" s="63">
        <v>0</v>
      </c>
      <c r="G31" s="63">
        <v>0</v>
      </c>
      <c r="H31" s="63">
        <v>0</v>
      </c>
      <c r="I31" s="63">
        <v>0</v>
      </c>
      <c r="J31" s="63">
        <v>0</v>
      </c>
      <c r="K31" s="63">
        <v>0</v>
      </c>
      <c r="L31" s="63">
        <v>0</v>
      </c>
      <c r="M31" s="63">
        <v>0</v>
      </c>
      <c r="N31" s="63">
        <v>0</v>
      </c>
      <c r="O31" s="64">
        <f t="shared" si="0"/>
        <v>0</v>
      </c>
      <c r="P31" s="12"/>
      <c r="Q31" s="13"/>
    </row>
    <row r="32" spans="2:17" ht="22.5" customHeight="1" x14ac:dyDescent="0.2">
      <c r="B32" s="65" t="s">
        <v>84</v>
      </c>
      <c r="C32" s="66">
        <f>SUM(C8:C31)</f>
        <v>54109.018253516195</v>
      </c>
      <c r="D32" s="66">
        <f>SUM(D8:D31)</f>
        <v>132240.01427219456</v>
      </c>
      <c r="E32" s="66">
        <f t="shared" ref="E32:M32" si="1">SUM(E8:E31)</f>
        <v>210026.92461310668</v>
      </c>
      <c r="F32" s="66">
        <f>SUM(F8:F31)</f>
        <v>144338.49856782344</v>
      </c>
      <c r="G32" s="66">
        <f t="shared" si="1"/>
        <v>138112.5889069238</v>
      </c>
      <c r="H32" s="66">
        <f t="shared" si="1"/>
        <v>123537.46754591803</v>
      </c>
      <c r="I32" s="66">
        <f t="shared" si="1"/>
        <v>182557.44647747194</v>
      </c>
      <c r="J32" s="66">
        <f t="shared" si="1"/>
        <v>123458.48927987067</v>
      </c>
      <c r="K32" s="66">
        <f t="shared" si="1"/>
        <v>184290.02647330481</v>
      </c>
      <c r="L32" s="66">
        <f>SUM(L8:L31)</f>
        <v>127555.23541200056</v>
      </c>
      <c r="M32" s="66">
        <f t="shared" si="1"/>
        <v>175243.49375531235</v>
      </c>
      <c r="N32" s="66">
        <f>SUM(N8:N31)</f>
        <v>141583.82885211697</v>
      </c>
      <c r="O32" s="66">
        <f>SUM(O8:O31)</f>
        <v>1737053.0324095595</v>
      </c>
      <c r="P32" s="12"/>
    </row>
    <row r="33" spans="2:15" s="28" customFormat="1" ht="21.75" customHeight="1" x14ac:dyDescent="0.2">
      <c r="B33" s="83" t="s">
        <v>30</v>
      </c>
      <c r="C33" s="86"/>
      <c r="D33" s="86"/>
      <c r="E33" s="86"/>
    </row>
    <row r="34" spans="2:15" s="28" customFormat="1" ht="16.5" customHeight="1" x14ac:dyDescent="0.2">
      <c r="B34" s="84" t="s">
        <v>86</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31</v>
      </c>
      <c r="C36" s="16"/>
      <c r="E36" s="16"/>
      <c r="F36" s="16"/>
    </row>
    <row r="37" spans="2:15" x14ac:dyDescent="0.2">
      <c r="C37" s="17"/>
      <c r="D37" s="17"/>
      <c r="E37" s="17"/>
      <c r="F37" s="17"/>
      <c r="G37" s="17"/>
      <c r="H37" s="17"/>
      <c r="I37" s="17"/>
      <c r="J37" s="17"/>
      <c r="K37" s="17"/>
      <c r="L37" s="17"/>
      <c r="M37" s="17"/>
      <c r="N37" s="17"/>
      <c r="O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B1:Q48"/>
  <sheetViews>
    <sheetView showGridLines="0" zoomScale="85" zoomScaleNormal="85" workbookViewId="0">
      <selection activeCell="C32" sqref="C32:O32"/>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7" t="str">
        <f>+IIBB!N1</f>
        <v>Última actualización</v>
      </c>
      <c r="O1" s="98">
        <f>+IIBB!O1</f>
        <v>46279</v>
      </c>
    </row>
    <row r="2" spans="2:17" ht="21" customHeight="1" x14ac:dyDescent="0.3">
      <c r="B2" s="101" t="s">
        <v>4</v>
      </c>
      <c r="C2" s="101"/>
      <c r="D2" s="101"/>
      <c r="E2" s="101"/>
      <c r="F2" s="101"/>
      <c r="G2" s="101"/>
      <c r="H2" s="101"/>
      <c r="I2" s="101"/>
      <c r="J2" s="101"/>
      <c r="K2" s="101"/>
      <c r="L2" s="101"/>
      <c r="M2" s="101"/>
      <c r="N2" s="101"/>
      <c r="O2" s="101"/>
    </row>
    <row r="3" spans="2:17" ht="21" customHeight="1" x14ac:dyDescent="0.3">
      <c r="B3" s="102">
        <f>+IIBB!B3</f>
        <v>2025</v>
      </c>
      <c r="C3" s="103"/>
      <c r="D3" s="103"/>
      <c r="E3" s="103"/>
      <c r="F3" s="103"/>
      <c r="G3" s="103"/>
      <c r="H3" s="103"/>
      <c r="I3" s="103"/>
      <c r="J3" s="103"/>
      <c r="K3" s="103"/>
      <c r="L3" s="103"/>
      <c r="M3" s="103"/>
      <c r="N3" s="103"/>
      <c r="O3" s="103"/>
    </row>
    <row r="4" spans="2:17" ht="21" customHeight="1" x14ac:dyDescent="0.25">
      <c r="B4" s="104" t="s">
        <v>6</v>
      </c>
      <c r="C4" s="104"/>
      <c r="D4" s="104"/>
      <c r="E4" s="104"/>
      <c r="F4" s="104"/>
      <c r="G4" s="104"/>
      <c r="H4" s="104"/>
      <c r="I4" s="104"/>
      <c r="J4" s="104"/>
      <c r="K4" s="104"/>
      <c r="L4" s="104"/>
      <c r="M4" s="104"/>
      <c r="N4" s="104"/>
      <c r="O4" s="104"/>
    </row>
    <row r="5" spans="2:17" ht="21" customHeight="1" x14ac:dyDescent="0.4">
      <c r="C5" s="5"/>
      <c r="D5" s="6"/>
      <c r="E5" s="6"/>
      <c r="F5" s="6"/>
      <c r="G5" s="6"/>
      <c r="H5" s="7"/>
      <c r="I5" s="6"/>
    </row>
    <row r="6" spans="2:17" ht="30" customHeight="1" x14ac:dyDescent="0.2">
      <c r="B6" s="62" t="s">
        <v>32</v>
      </c>
      <c r="C6" s="62" t="s">
        <v>73</v>
      </c>
      <c r="D6" s="62" t="s">
        <v>72</v>
      </c>
      <c r="E6" s="62" t="s">
        <v>74</v>
      </c>
      <c r="F6" s="62" t="s">
        <v>75</v>
      </c>
      <c r="G6" s="62" t="s">
        <v>76</v>
      </c>
      <c r="H6" s="62" t="s">
        <v>77</v>
      </c>
      <c r="I6" s="62" t="s">
        <v>78</v>
      </c>
      <c r="J6" s="62" t="s">
        <v>79</v>
      </c>
      <c r="K6" s="62" t="s">
        <v>80</v>
      </c>
      <c r="L6" s="62" t="s">
        <v>81</v>
      </c>
      <c r="M6" s="62" t="s">
        <v>82</v>
      </c>
      <c r="N6" s="62" t="s">
        <v>83</v>
      </c>
      <c r="O6" s="62" t="s">
        <v>84</v>
      </c>
    </row>
    <row r="7" spans="2:17" s="8" customFormat="1" ht="15" hidden="1" customHeight="1" x14ac:dyDescent="0.7">
      <c r="B7" s="23"/>
      <c r="C7" s="23"/>
      <c r="D7" s="24"/>
      <c r="E7" s="24"/>
      <c r="F7" s="25"/>
      <c r="G7" s="26"/>
      <c r="H7" s="27"/>
      <c r="I7" s="27"/>
      <c r="J7" s="27"/>
      <c r="K7" s="27"/>
    </row>
    <row r="8" spans="2:17" s="14" customFormat="1" ht="15.75" customHeight="1" x14ac:dyDescent="0.25">
      <c r="B8" s="58" t="s">
        <v>89</v>
      </c>
      <c r="C8" s="63">
        <v>5794.7999999999993</v>
      </c>
      <c r="D8" s="63">
        <v>6233.7999999999993</v>
      </c>
      <c r="E8" s="63">
        <v>8415.7999999999993</v>
      </c>
      <c r="F8" s="63">
        <v>6633.9</v>
      </c>
      <c r="G8" s="63">
        <v>7840.5</v>
      </c>
      <c r="H8" s="63">
        <v>8724.1</v>
      </c>
      <c r="I8" s="63">
        <v>4487.6000000000004</v>
      </c>
      <c r="J8" s="63">
        <v>6049.1</v>
      </c>
      <c r="K8" s="63">
        <v>8035.5</v>
      </c>
      <c r="L8" s="63">
        <v>5742</v>
      </c>
      <c r="M8" s="63">
        <v>9552.4</v>
      </c>
      <c r="N8" s="63">
        <v>39746.5</v>
      </c>
      <c r="O8" s="64">
        <f>SUM(C8:N8)</f>
        <v>117255.99999999999</v>
      </c>
      <c r="P8" s="12"/>
      <c r="Q8" s="13"/>
    </row>
    <row r="9" spans="2:17" s="11" customFormat="1" ht="15.75" customHeight="1" x14ac:dyDescent="0.25">
      <c r="B9" s="58" t="s">
        <v>41</v>
      </c>
      <c r="C9" s="63">
        <v>21791.122093218899</v>
      </c>
      <c r="D9" s="63">
        <v>23651.334347069598</v>
      </c>
      <c r="E9" s="63">
        <v>26736.246904334443</v>
      </c>
      <c r="F9" s="63">
        <v>29587.481193698117</v>
      </c>
      <c r="G9" s="63">
        <v>29575.538761402906</v>
      </c>
      <c r="H9" s="63">
        <v>28243.139698208113</v>
      </c>
      <c r="I9" s="63">
        <v>32052.831675214842</v>
      </c>
      <c r="J9" s="63">
        <v>31718.370985134807</v>
      </c>
      <c r="K9" s="63">
        <v>31309.70155100949</v>
      </c>
      <c r="L9" s="63">
        <v>31537.549456238805</v>
      </c>
      <c r="M9" s="63">
        <v>32177.725916221774</v>
      </c>
      <c r="N9" s="63">
        <v>33187.899523562315</v>
      </c>
      <c r="O9" s="64">
        <f>SUM(C9:N9)</f>
        <v>351568.94210531411</v>
      </c>
      <c r="P9" s="9"/>
      <c r="Q9" s="10"/>
    </row>
    <row r="10" spans="2:17" s="14" customFormat="1" ht="15.75" customHeight="1" x14ac:dyDescent="0.25">
      <c r="B10" s="58" t="s">
        <v>42</v>
      </c>
      <c r="C10" s="63">
        <v>1.19950227</v>
      </c>
      <c r="D10" s="63">
        <v>17.226404859999999</v>
      </c>
      <c r="E10" s="63">
        <v>75.346278130000002</v>
      </c>
      <c r="F10" s="63">
        <v>15.64833125</v>
      </c>
      <c r="G10" s="63">
        <v>12.100447669999999</v>
      </c>
      <c r="H10" s="63">
        <v>22.546980080000001</v>
      </c>
      <c r="I10" s="63">
        <v>21.90817852</v>
      </c>
      <c r="J10" s="63">
        <v>14.495329829999999</v>
      </c>
      <c r="K10" s="63">
        <v>80.034240449999999</v>
      </c>
      <c r="L10" s="63">
        <v>26.95342355</v>
      </c>
      <c r="M10" s="63">
        <v>32.364347680000002</v>
      </c>
      <c r="N10" s="63">
        <v>51.453965369999999</v>
      </c>
      <c r="O10" s="64">
        <f t="shared" ref="O10:O31" si="0">SUM(C10:N10)</f>
        <v>371.27742966</v>
      </c>
      <c r="P10" s="12"/>
      <c r="Q10" s="13"/>
    </row>
    <row r="11" spans="2:17" s="14" customFormat="1" ht="15.75" customHeight="1" x14ac:dyDescent="0.25">
      <c r="B11" s="58" t="s">
        <v>43</v>
      </c>
      <c r="C11" s="63">
        <v>0</v>
      </c>
      <c r="D11" s="63">
        <v>0</v>
      </c>
      <c r="E11" s="63">
        <v>0</v>
      </c>
      <c r="F11" s="63">
        <v>0</v>
      </c>
      <c r="G11" s="63">
        <v>0</v>
      </c>
      <c r="H11" s="63">
        <v>0</v>
      </c>
      <c r="I11" s="63">
        <v>0</v>
      </c>
      <c r="J11" s="63">
        <v>0</v>
      </c>
      <c r="K11" s="63">
        <v>0</v>
      </c>
      <c r="L11" s="63">
        <v>0</v>
      </c>
      <c r="M11" s="63">
        <v>0</v>
      </c>
      <c r="N11" s="63">
        <v>0</v>
      </c>
      <c r="O11" s="64">
        <f t="shared" si="0"/>
        <v>0</v>
      </c>
      <c r="P11" s="12"/>
      <c r="Q11" s="13"/>
    </row>
    <row r="12" spans="2:17" s="14" customFormat="1" ht="15.75" customHeight="1" x14ac:dyDescent="0.25">
      <c r="B12" s="58" t="s">
        <v>44</v>
      </c>
      <c r="C12" s="63">
        <v>38.87970687</v>
      </c>
      <c r="D12" s="63">
        <v>39.521711209999999</v>
      </c>
      <c r="E12" s="63">
        <v>35.184779129999995</v>
      </c>
      <c r="F12" s="63">
        <v>51.226082249999997</v>
      </c>
      <c r="G12" s="63">
        <v>40.746668230000004</v>
      </c>
      <c r="H12" s="63">
        <v>47.771828409999998</v>
      </c>
      <c r="I12" s="63">
        <v>54.193716850000001</v>
      </c>
      <c r="J12" s="63">
        <v>64.351329269999994</v>
      </c>
      <c r="K12" s="63">
        <v>49.692085069999997</v>
      </c>
      <c r="L12" s="63">
        <v>50.164545629999992</v>
      </c>
      <c r="M12" s="63">
        <v>35.773379290000001</v>
      </c>
      <c r="N12" s="63">
        <v>64.23952414</v>
      </c>
      <c r="O12" s="64">
        <f t="shared" si="0"/>
        <v>571.74535634999995</v>
      </c>
      <c r="P12" s="12"/>
      <c r="Q12" s="13"/>
    </row>
    <row r="13" spans="2:17" s="14" customFormat="1" ht="15.75" customHeight="1" x14ac:dyDescent="0.25">
      <c r="B13" s="58" t="s">
        <v>45</v>
      </c>
      <c r="C13" s="63">
        <v>6185.0792383599992</v>
      </c>
      <c r="D13" s="63">
        <v>5153.6240000000007</v>
      </c>
      <c r="E13" s="63">
        <v>5011.2989999999991</v>
      </c>
      <c r="F13" s="63">
        <v>5406.2359999999999</v>
      </c>
      <c r="G13" s="63">
        <v>5724.92634309</v>
      </c>
      <c r="H13" s="63">
        <v>5638.4283750700006</v>
      </c>
      <c r="I13" s="63">
        <v>6847.0079966500007</v>
      </c>
      <c r="J13" s="63">
        <v>5925.1368848699994</v>
      </c>
      <c r="K13" s="63">
        <v>5801.9757170300009</v>
      </c>
      <c r="L13" s="63">
        <v>5809.985095</v>
      </c>
      <c r="M13" s="63">
        <v>5651.0958352799989</v>
      </c>
      <c r="N13" s="63">
        <v>5959.9027119399998</v>
      </c>
      <c r="O13" s="64">
        <f t="shared" si="0"/>
        <v>69114.697197290006</v>
      </c>
      <c r="P13" s="12"/>
      <c r="Q13" s="13"/>
    </row>
    <row r="14" spans="2:17" s="14" customFormat="1" ht="15.75" customHeight="1" x14ac:dyDescent="0.25">
      <c r="B14" s="59" t="s">
        <v>46</v>
      </c>
      <c r="C14" s="63">
        <v>412.23911635000002</v>
      </c>
      <c r="D14" s="63">
        <v>443.85842464000001</v>
      </c>
      <c r="E14" s="63">
        <v>428.28352340000004</v>
      </c>
      <c r="F14" s="63">
        <v>157.04489638000001</v>
      </c>
      <c r="G14" s="63">
        <v>82.006114460000006</v>
      </c>
      <c r="H14" s="63">
        <v>23.063447759999999</v>
      </c>
      <c r="I14" s="63">
        <v>93.311915749999997</v>
      </c>
      <c r="J14" s="63">
        <v>31.04332604</v>
      </c>
      <c r="K14" s="63">
        <v>51.637980899999995</v>
      </c>
      <c r="L14" s="63">
        <v>39.771446680000004</v>
      </c>
      <c r="M14" s="63">
        <v>36.446026809999999</v>
      </c>
      <c r="N14" s="63">
        <v>350.95626117999996</v>
      </c>
      <c r="O14" s="64">
        <f t="shared" si="0"/>
        <v>2149.6624803499999</v>
      </c>
      <c r="P14" s="12"/>
      <c r="Q14" s="13"/>
    </row>
    <row r="15" spans="2:17" s="14" customFormat="1" ht="15.75" customHeight="1" x14ac:dyDescent="0.25">
      <c r="B15" s="58" t="s">
        <v>47</v>
      </c>
      <c r="C15" s="63">
        <v>883.99271900000008</v>
      </c>
      <c r="D15" s="63">
        <v>756.58978999999999</v>
      </c>
      <c r="E15" s="63">
        <v>817.53972500000009</v>
      </c>
      <c r="F15" s="63">
        <v>891.64445000000001</v>
      </c>
      <c r="G15" s="63">
        <v>990.08444000000009</v>
      </c>
      <c r="H15" s="63">
        <v>1066.741886</v>
      </c>
      <c r="I15" s="63">
        <v>1433.2815390000001</v>
      </c>
      <c r="J15" s="63">
        <v>1623.3375160000001</v>
      </c>
      <c r="K15" s="63">
        <v>1756.2077319999999</v>
      </c>
      <c r="L15" s="63">
        <v>1942.124847</v>
      </c>
      <c r="M15" s="63">
        <v>1748.2846950000003</v>
      </c>
      <c r="N15" s="63">
        <v>2051.477488</v>
      </c>
      <c r="O15" s="64">
        <f t="shared" si="0"/>
        <v>15961.306826999999</v>
      </c>
      <c r="P15" s="12"/>
      <c r="Q15" s="13"/>
    </row>
    <row r="16" spans="2:17" s="14" customFormat="1" ht="15.75" customHeight="1" x14ac:dyDescent="0.25">
      <c r="B16" s="58" t="s">
        <v>48</v>
      </c>
      <c r="C16" s="63">
        <v>6.44894883</v>
      </c>
      <c r="D16" s="63">
        <v>6.8825074399999995</v>
      </c>
      <c r="E16" s="63">
        <v>11.254589940000001</v>
      </c>
      <c r="F16" s="63">
        <v>23.742000429999997</v>
      </c>
      <c r="G16" s="63">
        <v>24.28648965</v>
      </c>
      <c r="H16" s="63">
        <v>30.073346859999997</v>
      </c>
      <c r="I16" s="63">
        <v>33.612060169999999</v>
      </c>
      <c r="J16" s="63">
        <v>32.732752179999999</v>
      </c>
      <c r="K16" s="63">
        <v>36.489646430000001</v>
      </c>
      <c r="L16" s="63">
        <v>35.75886431</v>
      </c>
      <c r="M16" s="63">
        <v>29.985070580000002</v>
      </c>
      <c r="N16" s="63">
        <v>25.886210519999999</v>
      </c>
      <c r="O16" s="64">
        <f t="shared" si="0"/>
        <v>297.15248733999999</v>
      </c>
      <c r="P16" s="12"/>
      <c r="Q16" s="13"/>
    </row>
    <row r="17" spans="2:17" s="14" customFormat="1" ht="15.75" customHeight="1" x14ac:dyDescent="0.25">
      <c r="B17" s="58" t="s">
        <v>49</v>
      </c>
      <c r="C17" s="63">
        <v>0</v>
      </c>
      <c r="D17" s="63">
        <v>0</v>
      </c>
      <c r="E17" s="63">
        <v>0</v>
      </c>
      <c r="F17" s="63">
        <v>0</v>
      </c>
      <c r="G17" s="63">
        <v>0</v>
      </c>
      <c r="H17" s="63">
        <v>0</v>
      </c>
      <c r="I17" s="63">
        <v>0</v>
      </c>
      <c r="J17" s="63">
        <v>0</v>
      </c>
      <c r="K17" s="63">
        <v>0</v>
      </c>
      <c r="L17" s="63">
        <v>0</v>
      </c>
      <c r="M17" s="63">
        <v>0</v>
      </c>
      <c r="N17" s="63">
        <v>0</v>
      </c>
      <c r="O17" s="64">
        <f t="shared" si="0"/>
        <v>0</v>
      </c>
      <c r="P17" s="12"/>
      <c r="Q17" s="13"/>
    </row>
    <row r="18" spans="2:17" s="11" customFormat="1" ht="15.75" customHeight="1" x14ac:dyDescent="0.25">
      <c r="B18" s="58" t="s">
        <v>50</v>
      </c>
      <c r="C18" s="63">
        <v>13.23725514</v>
      </c>
      <c r="D18" s="63">
        <v>8.2474792699999995</v>
      </c>
      <c r="E18" s="63">
        <v>23.691697000000005</v>
      </c>
      <c r="F18" s="63">
        <v>332.61215982000004</v>
      </c>
      <c r="G18" s="63">
        <v>67.206715930000001</v>
      </c>
      <c r="H18" s="63">
        <v>207.71832015000001</v>
      </c>
      <c r="I18" s="63">
        <v>232.59700255999999</v>
      </c>
      <c r="J18" s="63">
        <v>97.542368359999998</v>
      </c>
      <c r="K18" s="63">
        <v>274.09939818999999</v>
      </c>
      <c r="L18" s="63">
        <v>90.831669729999987</v>
      </c>
      <c r="M18" s="63">
        <v>35.451441379999999</v>
      </c>
      <c r="N18" s="63">
        <v>254.93602977</v>
      </c>
      <c r="O18" s="64">
        <f t="shared" si="0"/>
        <v>1638.1715372999997</v>
      </c>
      <c r="P18" s="9"/>
      <c r="Q18" s="10"/>
    </row>
    <row r="19" spans="2:17" s="14" customFormat="1" ht="15.75" customHeight="1" x14ac:dyDescent="0.25">
      <c r="B19" s="58" t="s">
        <v>51</v>
      </c>
      <c r="C19" s="63">
        <v>0</v>
      </c>
      <c r="D19" s="63">
        <v>0</v>
      </c>
      <c r="E19" s="63">
        <v>0</v>
      </c>
      <c r="F19" s="63">
        <v>0</v>
      </c>
      <c r="G19" s="63">
        <v>0</v>
      </c>
      <c r="H19" s="63">
        <v>0</v>
      </c>
      <c r="I19" s="63">
        <v>0</v>
      </c>
      <c r="J19" s="63">
        <v>0</v>
      </c>
      <c r="K19" s="63">
        <v>0</v>
      </c>
      <c r="L19" s="63">
        <v>0</v>
      </c>
      <c r="M19" s="63">
        <v>0</v>
      </c>
      <c r="N19" s="63">
        <v>0</v>
      </c>
      <c r="O19" s="64">
        <f t="shared" si="0"/>
        <v>0</v>
      </c>
      <c r="P19" s="12"/>
      <c r="Q19" s="13"/>
    </row>
    <row r="20" spans="2:17" s="14" customFormat="1" ht="15.75" customHeight="1" x14ac:dyDescent="0.25">
      <c r="B20" s="58" t="s">
        <v>52</v>
      </c>
      <c r="C20" s="63">
        <v>0</v>
      </c>
      <c r="D20" s="63">
        <v>0</v>
      </c>
      <c r="E20" s="63">
        <v>0</v>
      </c>
      <c r="F20" s="63">
        <v>0</v>
      </c>
      <c r="G20" s="63">
        <v>0</v>
      </c>
      <c r="H20" s="63">
        <v>0</v>
      </c>
      <c r="I20" s="63">
        <v>0</v>
      </c>
      <c r="J20" s="63">
        <v>0</v>
      </c>
      <c r="K20" s="63">
        <v>0</v>
      </c>
      <c r="L20" s="63">
        <v>0</v>
      </c>
      <c r="M20" s="63">
        <v>0</v>
      </c>
      <c r="N20" s="63">
        <v>0</v>
      </c>
      <c r="O20" s="64">
        <f t="shared" si="0"/>
        <v>0</v>
      </c>
      <c r="P20" s="12"/>
      <c r="Q20" s="13"/>
    </row>
    <row r="21" spans="2:17" s="14" customFormat="1" ht="15.75" customHeight="1" x14ac:dyDescent="0.25">
      <c r="B21" s="58" t="s">
        <v>53</v>
      </c>
      <c r="C21" s="63">
        <v>291.29654309</v>
      </c>
      <c r="D21" s="63">
        <v>426.87732842000003</v>
      </c>
      <c r="E21" s="63">
        <v>975.80394867000007</v>
      </c>
      <c r="F21" s="63">
        <v>462.752995</v>
      </c>
      <c r="G21" s="63">
        <v>612.75215518999994</v>
      </c>
      <c r="H21" s="63">
        <v>511.76457777000002</v>
      </c>
      <c r="I21" s="63">
        <v>486.08887065999994</v>
      </c>
      <c r="J21" s="63">
        <v>494.54315282000005</v>
      </c>
      <c r="K21" s="63">
        <v>449.36370943000003</v>
      </c>
      <c r="L21" s="63">
        <v>437.82258259000002</v>
      </c>
      <c r="M21" s="63">
        <v>324.76344919999997</v>
      </c>
      <c r="N21" s="63">
        <v>377.10406277999999</v>
      </c>
      <c r="O21" s="64">
        <f t="shared" si="0"/>
        <v>5850.9333756199994</v>
      </c>
      <c r="P21" s="15"/>
      <c r="Q21" s="13"/>
    </row>
    <row r="22" spans="2:17" s="14" customFormat="1" ht="15.75" customHeight="1" x14ac:dyDescent="0.25">
      <c r="B22" s="58" t="s">
        <v>54</v>
      </c>
      <c r="C22" s="63">
        <v>239.90603297000001</v>
      </c>
      <c r="D22" s="63">
        <v>229.77192868</v>
      </c>
      <c r="E22" s="63">
        <v>286.38884992000004</v>
      </c>
      <c r="F22" s="63">
        <v>353.47060983999995</v>
      </c>
      <c r="G22" s="63">
        <v>370.68313473000001</v>
      </c>
      <c r="H22" s="63">
        <v>721.29551065999999</v>
      </c>
      <c r="I22" s="63">
        <v>398.66909664000002</v>
      </c>
      <c r="J22" s="63">
        <v>297.47624695999997</v>
      </c>
      <c r="K22" s="63">
        <v>587.66376859000002</v>
      </c>
      <c r="L22" s="63">
        <v>327.43666973000001</v>
      </c>
      <c r="M22" s="63">
        <v>376.98531868000003</v>
      </c>
      <c r="N22" s="63">
        <v>589.20991865999997</v>
      </c>
      <c r="O22" s="64">
        <f t="shared" si="0"/>
        <v>4778.9570860599997</v>
      </c>
      <c r="P22" s="15"/>
      <c r="Q22" s="13"/>
    </row>
    <row r="23" spans="2:17" s="14" customFormat="1" ht="15.75" customHeight="1" x14ac:dyDescent="0.25">
      <c r="B23" s="58" t="s">
        <v>55</v>
      </c>
      <c r="C23" s="63">
        <v>841.01667757999996</v>
      </c>
      <c r="D23" s="63">
        <v>894.01646866999999</v>
      </c>
      <c r="E23" s="63">
        <v>880.98500661000003</v>
      </c>
      <c r="F23" s="63">
        <v>1103.9863551200001</v>
      </c>
      <c r="G23" s="63">
        <v>1101.32275841</v>
      </c>
      <c r="H23" s="63">
        <v>2185.1001518899998</v>
      </c>
      <c r="I23" s="63">
        <v>2077.1180484299998</v>
      </c>
      <c r="J23" s="63">
        <v>2470.6964929400001</v>
      </c>
      <c r="K23" s="63">
        <v>2211.6600633899998</v>
      </c>
      <c r="L23" s="63">
        <v>2533.8292834700001</v>
      </c>
      <c r="M23" s="63">
        <v>1865.20639142</v>
      </c>
      <c r="N23" s="63">
        <v>2399.41744612</v>
      </c>
      <c r="O23" s="64">
        <f t="shared" si="0"/>
        <v>20564.355144050001</v>
      </c>
      <c r="P23" s="15"/>
      <c r="Q23" s="13"/>
    </row>
    <row r="24" spans="2:17" s="14" customFormat="1" ht="15.75" customHeight="1" x14ac:dyDescent="0.25">
      <c r="B24" s="58" t="s">
        <v>56</v>
      </c>
      <c r="C24" s="63">
        <v>1.63931011</v>
      </c>
      <c r="D24" s="63">
        <v>1.3551333699999999</v>
      </c>
      <c r="E24" s="63">
        <v>1.6753175499999999</v>
      </c>
      <c r="F24" s="63">
        <v>1.55456046</v>
      </c>
      <c r="G24" s="63">
        <v>1.0305041699999999</v>
      </c>
      <c r="H24" s="63">
        <v>1.08234075</v>
      </c>
      <c r="I24" s="63">
        <v>0.84832591000000002</v>
      </c>
      <c r="J24" s="63">
        <v>0.96073565999999999</v>
      </c>
      <c r="K24" s="63">
        <v>0.88228894000000002</v>
      </c>
      <c r="L24" s="63">
        <v>1.2527467999999999</v>
      </c>
      <c r="M24" s="63">
        <v>1.3238249900000001</v>
      </c>
      <c r="N24" s="63">
        <v>9.3474370000000001E-2</v>
      </c>
      <c r="O24" s="64">
        <f t="shared" si="0"/>
        <v>13.69856308</v>
      </c>
      <c r="P24" s="15"/>
      <c r="Q24" s="13"/>
    </row>
    <row r="25" spans="2:17" s="14" customFormat="1" ht="15.75" customHeight="1" x14ac:dyDescent="0.25">
      <c r="B25" s="58" t="s">
        <v>57</v>
      </c>
      <c r="C25" s="63">
        <v>1685.9615772199998</v>
      </c>
      <c r="D25" s="63">
        <v>1408.0522249999999</v>
      </c>
      <c r="E25" s="63">
        <v>1511.891877</v>
      </c>
      <c r="F25" s="63">
        <v>1782.408222</v>
      </c>
      <c r="G25" s="63">
        <v>2121.854636</v>
      </c>
      <c r="H25" s="63">
        <v>1664.009532</v>
      </c>
      <c r="I25" s="63">
        <v>1710.9602580000001</v>
      </c>
      <c r="J25" s="63">
        <v>1738.1854470000001</v>
      </c>
      <c r="K25" s="63">
        <v>1650.4226489999999</v>
      </c>
      <c r="L25" s="63">
        <v>1905.9652529999998</v>
      </c>
      <c r="M25" s="63">
        <v>1859.582028</v>
      </c>
      <c r="N25" s="63">
        <v>2214.2297789999998</v>
      </c>
      <c r="O25" s="64">
        <f t="shared" si="0"/>
        <v>21253.52348322</v>
      </c>
      <c r="P25" s="15"/>
      <c r="Q25" s="13"/>
    </row>
    <row r="26" spans="2:17" s="14" customFormat="1" ht="15.75" customHeight="1" x14ac:dyDescent="0.25">
      <c r="B26" s="58" t="s">
        <v>58</v>
      </c>
      <c r="C26" s="63">
        <v>162.27230821000001</v>
      </c>
      <c r="D26" s="63">
        <v>66.765481109999996</v>
      </c>
      <c r="E26" s="63">
        <v>57.024170980000001</v>
      </c>
      <c r="F26" s="63">
        <v>54.950252120000002</v>
      </c>
      <c r="G26" s="63">
        <v>50.534101280000002</v>
      </c>
      <c r="H26" s="63">
        <v>46.703477939999999</v>
      </c>
      <c r="I26" s="63">
        <v>45.753310659999997</v>
      </c>
      <c r="J26" s="63">
        <v>28.437133110000001</v>
      </c>
      <c r="K26" s="63">
        <v>40.251468440000004</v>
      </c>
      <c r="L26" s="63">
        <v>42.814758550000001</v>
      </c>
      <c r="M26" s="63">
        <v>18.051206320000002</v>
      </c>
      <c r="N26" s="63">
        <v>29.063048999999999</v>
      </c>
      <c r="O26" s="64">
        <f t="shared" si="0"/>
        <v>642.62071772000002</v>
      </c>
      <c r="P26" s="15"/>
      <c r="Q26" s="13"/>
    </row>
    <row r="27" spans="2:17" s="14" customFormat="1" ht="15.75" customHeight="1" x14ac:dyDescent="0.25">
      <c r="B27" s="58" t="s">
        <v>59</v>
      </c>
      <c r="C27" s="63">
        <v>9</v>
      </c>
      <c r="D27" s="63">
        <v>0</v>
      </c>
      <c r="E27" s="63">
        <v>0</v>
      </c>
      <c r="F27" s="63">
        <v>0</v>
      </c>
      <c r="G27" s="63">
        <v>21.2775</v>
      </c>
      <c r="H27" s="63">
        <v>0</v>
      </c>
      <c r="I27" s="63">
        <v>8.4749999999999996</v>
      </c>
      <c r="J27" s="63">
        <v>0</v>
      </c>
      <c r="K27" s="63">
        <v>0</v>
      </c>
      <c r="L27" s="63">
        <v>0</v>
      </c>
      <c r="M27" s="63">
        <v>22.712</v>
      </c>
      <c r="N27" s="63">
        <v>17.06485</v>
      </c>
      <c r="O27" s="64">
        <f t="shared" si="0"/>
        <v>78.529349999999994</v>
      </c>
      <c r="P27" s="15"/>
      <c r="Q27" s="13"/>
    </row>
    <row r="28" spans="2:17" s="14" customFormat="1" ht="15.75" customHeight="1" x14ac:dyDescent="0.25">
      <c r="B28" s="58" t="s">
        <v>88</v>
      </c>
      <c r="C28" s="63">
        <v>600.51717772000006</v>
      </c>
      <c r="D28" s="63">
        <v>594.99619905000009</v>
      </c>
      <c r="E28" s="63">
        <v>587.67385560000002</v>
      </c>
      <c r="F28" s="63">
        <v>666.34128334000002</v>
      </c>
      <c r="G28" s="63">
        <v>652.90077170999996</v>
      </c>
      <c r="H28" s="63">
        <v>1083.4385811699999</v>
      </c>
      <c r="I28" s="63">
        <v>839.93862087000002</v>
      </c>
      <c r="J28" s="63">
        <v>744.38650898000003</v>
      </c>
      <c r="K28" s="63">
        <v>749.73628011999995</v>
      </c>
      <c r="L28" s="63">
        <v>799.01751083000011</v>
      </c>
      <c r="M28" s="63">
        <v>403.77916112999998</v>
      </c>
      <c r="N28" s="63">
        <v>1175.3389677</v>
      </c>
      <c r="O28" s="64">
        <f t="shared" si="0"/>
        <v>8898.0649182199995</v>
      </c>
      <c r="P28" s="15"/>
      <c r="Q28" s="13"/>
    </row>
    <row r="29" spans="2:17" s="11" customFormat="1" ht="15.75" customHeight="1" x14ac:dyDescent="0.25">
      <c r="B29" s="58" t="s">
        <v>61</v>
      </c>
      <c r="C29" s="63">
        <v>162.87480210999999</v>
      </c>
      <c r="D29" s="63">
        <v>142.28723955999999</v>
      </c>
      <c r="E29" s="63">
        <v>155.55219478000001</v>
      </c>
      <c r="F29" s="63">
        <v>178.62867452</v>
      </c>
      <c r="G29" s="63">
        <v>140.91042565000001</v>
      </c>
      <c r="H29" s="63">
        <v>189.14368407000001</v>
      </c>
      <c r="I29" s="63">
        <v>205.67543037000002</v>
      </c>
      <c r="J29" s="63">
        <v>240.82439443999999</v>
      </c>
      <c r="K29" s="63">
        <v>205.19687395</v>
      </c>
      <c r="L29" s="63">
        <v>225.34911233</v>
      </c>
      <c r="M29" s="63">
        <v>138.77237284999998</v>
      </c>
      <c r="N29" s="63">
        <v>198.09249331000001</v>
      </c>
      <c r="O29" s="64">
        <f t="shared" si="0"/>
        <v>2183.3076979400003</v>
      </c>
      <c r="P29" s="12"/>
      <c r="Q29" s="10"/>
    </row>
    <row r="30" spans="2:17" s="14" customFormat="1" ht="15.75" customHeight="1" x14ac:dyDescent="0.25">
      <c r="B30" s="58" t="s">
        <v>62</v>
      </c>
      <c r="C30" s="63">
        <v>3584.381625</v>
      </c>
      <c r="D30" s="63">
        <v>3163.367201</v>
      </c>
      <c r="E30" s="63">
        <v>3292.3387109999999</v>
      </c>
      <c r="F30" s="63">
        <v>3251.983416</v>
      </c>
      <c r="G30" s="63">
        <v>3402.3053070000001</v>
      </c>
      <c r="H30" s="63">
        <v>3822.2003589999999</v>
      </c>
      <c r="I30" s="63">
        <v>4889.6030010000004</v>
      </c>
      <c r="J30" s="63">
        <v>3617.3206600000003</v>
      </c>
      <c r="K30" s="63">
        <v>3864.9770250000001</v>
      </c>
      <c r="L30" s="63">
        <v>3670.4714709999998</v>
      </c>
      <c r="M30" s="63">
        <v>3629.6173389999999</v>
      </c>
      <c r="N30" s="63">
        <v>3601.164921</v>
      </c>
      <c r="O30" s="64">
        <f t="shared" si="0"/>
        <v>43789.73103599999</v>
      </c>
      <c r="P30" s="12"/>
      <c r="Q30" s="13"/>
    </row>
    <row r="31" spans="2:17" s="14" customFormat="1" ht="15.75" customHeight="1" x14ac:dyDescent="0.25">
      <c r="B31" s="58" t="s">
        <v>63</v>
      </c>
      <c r="C31" s="63">
        <v>9902.5428329200004</v>
      </c>
      <c r="D31" s="63">
        <v>8847.66714804</v>
      </c>
      <c r="E31" s="63">
        <v>8656.1394280999993</v>
      </c>
      <c r="F31" s="63">
        <v>9772.8885500299984</v>
      </c>
      <c r="G31" s="63">
        <v>10624.63405201</v>
      </c>
      <c r="H31" s="63">
        <v>10661.43372985</v>
      </c>
      <c r="I31" s="63">
        <v>11306.57715411</v>
      </c>
      <c r="J31" s="63">
        <v>11165.4047307</v>
      </c>
      <c r="K31" s="63">
        <v>11159.687994839998</v>
      </c>
      <c r="L31" s="63">
        <v>11608.152899750001</v>
      </c>
      <c r="M31" s="63">
        <v>11823.31687887</v>
      </c>
      <c r="N31" s="63">
        <v>11366.3</v>
      </c>
      <c r="O31" s="64">
        <f t="shared" si="0"/>
        <v>126894.74539921999</v>
      </c>
      <c r="P31" s="12"/>
      <c r="Q31" s="13"/>
    </row>
    <row r="32" spans="2:17" ht="22.5" customHeight="1" x14ac:dyDescent="0.2">
      <c r="B32" s="65" t="s">
        <v>84</v>
      </c>
      <c r="C32" s="66">
        <f>SUM(C8:C31)</f>
        <v>52608.407466968893</v>
      </c>
      <c r="D32" s="66">
        <f>SUM(D8:D31)</f>
        <v>52086.241017389606</v>
      </c>
      <c r="E32" s="66">
        <f t="shared" ref="E32:M32" si="1">SUM(E8:E31)</f>
        <v>57960.11985714444</v>
      </c>
      <c r="F32" s="66">
        <f>SUM(F8:F31)</f>
        <v>60728.500032258104</v>
      </c>
      <c r="G32" s="66">
        <f t="shared" si="1"/>
        <v>63457.60132658291</v>
      </c>
      <c r="H32" s="66">
        <f t="shared" si="1"/>
        <v>64889.755827638102</v>
      </c>
      <c r="I32" s="66">
        <f t="shared" si="1"/>
        <v>67226.051201364855</v>
      </c>
      <c r="J32" s="66">
        <f t="shared" si="1"/>
        <v>66354.345994294825</v>
      </c>
      <c r="K32" s="66">
        <f t="shared" si="1"/>
        <v>68315.180472779495</v>
      </c>
      <c r="L32" s="66">
        <f>SUM(L8:L31)</f>
        <v>66827.251636188812</v>
      </c>
      <c r="M32" s="66">
        <f t="shared" si="1"/>
        <v>69763.636682701777</v>
      </c>
      <c r="N32" s="66">
        <f>SUM(N8:N31)</f>
        <v>103660.33067642232</v>
      </c>
      <c r="O32" s="66">
        <f>SUM(O8:O31)</f>
        <v>793877.42219173419</v>
      </c>
      <c r="P32" s="12"/>
    </row>
    <row r="33" spans="2:15" s="28" customFormat="1" ht="21.75" customHeight="1" x14ac:dyDescent="0.2">
      <c r="B33" s="83" t="s">
        <v>30</v>
      </c>
      <c r="C33" s="86"/>
      <c r="D33" s="86"/>
      <c r="E33" s="86"/>
    </row>
    <row r="34" spans="2:15" s="28" customFormat="1" ht="16.5" customHeight="1" x14ac:dyDescent="0.2">
      <c r="B34" s="84" t="s">
        <v>86</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31</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B1:Q48"/>
  <sheetViews>
    <sheetView showGridLines="0" zoomScale="85" zoomScaleNormal="85" workbookViewId="0">
      <pane xSplit="2" ySplit="7" topLeftCell="C8" activePane="bottomRight" state="frozen"/>
      <selection activeCell="B32" sqref="B32"/>
      <selection pane="topRight" activeCell="B32" sqref="B32"/>
      <selection pane="bottomLeft" activeCell="B32" sqref="B32"/>
      <selection pane="bottomRight" activeCell="O1" sqref="O1"/>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7" t="str">
        <f>+IIBB!N1</f>
        <v>Última actualización</v>
      </c>
      <c r="O1" s="98">
        <f>+IIBB!O1</f>
        <v>46279</v>
      </c>
    </row>
    <row r="2" spans="2:17" ht="21" customHeight="1" x14ac:dyDescent="0.3">
      <c r="B2" s="101" t="s">
        <v>5</v>
      </c>
      <c r="C2" s="101"/>
      <c r="D2" s="101"/>
      <c r="E2" s="101"/>
      <c r="F2" s="101"/>
      <c r="G2" s="101"/>
      <c r="H2" s="101"/>
      <c r="I2" s="101"/>
      <c r="J2" s="101"/>
      <c r="K2" s="101"/>
      <c r="L2" s="101"/>
      <c r="M2" s="101"/>
      <c r="N2" s="101"/>
      <c r="O2" s="101"/>
    </row>
    <row r="3" spans="2:17" ht="21" customHeight="1" x14ac:dyDescent="0.3">
      <c r="B3" s="102">
        <f>+IIBB!B3</f>
        <v>2025</v>
      </c>
      <c r="C3" s="103"/>
      <c r="D3" s="103"/>
      <c r="E3" s="103"/>
      <c r="F3" s="103"/>
      <c r="G3" s="103"/>
      <c r="H3" s="103"/>
      <c r="I3" s="103"/>
      <c r="J3" s="103"/>
      <c r="K3" s="103"/>
      <c r="L3" s="103"/>
      <c r="M3" s="103"/>
      <c r="N3" s="103"/>
      <c r="O3" s="103"/>
    </row>
    <row r="4" spans="2:17" ht="21" customHeight="1" x14ac:dyDescent="0.25">
      <c r="B4" s="104" t="s">
        <v>6</v>
      </c>
      <c r="C4" s="104"/>
      <c r="D4" s="104"/>
      <c r="E4" s="104"/>
      <c r="F4" s="104"/>
      <c r="G4" s="104"/>
      <c r="H4" s="104"/>
      <c r="I4" s="104"/>
      <c r="J4" s="104"/>
      <c r="K4" s="104"/>
      <c r="L4" s="104"/>
      <c r="M4" s="104"/>
      <c r="N4" s="104"/>
      <c r="O4" s="104"/>
    </row>
    <row r="5" spans="2:17" ht="21" customHeight="1" x14ac:dyDescent="0.4">
      <c r="C5" s="5"/>
      <c r="D5" s="6"/>
      <c r="E5" s="6"/>
      <c r="F5" s="6"/>
      <c r="G5" s="6"/>
      <c r="H5" s="7"/>
      <c r="I5" s="6"/>
    </row>
    <row r="6" spans="2:17" ht="30" customHeight="1" x14ac:dyDescent="0.2">
      <c r="B6" s="62" t="s">
        <v>32</v>
      </c>
      <c r="C6" s="62" t="s">
        <v>73</v>
      </c>
      <c r="D6" s="62" t="s">
        <v>72</v>
      </c>
      <c r="E6" s="62" t="s">
        <v>74</v>
      </c>
      <c r="F6" s="62" t="s">
        <v>75</v>
      </c>
      <c r="G6" s="62" t="s">
        <v>76</v>
      </c>
      <c r="H6" s="62" t="s">
        <v>77</v>
      </c>
      <c r="I6" s="62" t="s">
        <v>78</v>
      </c>
      <c r="J6" s="62" t="s">
        <v>79</v>
      </c>
      <c r="K6" s="62" t="s">
        <v>80</v>
      </c>
      <c r="L6" s="62" t="s">
        <v>81</v>
      </c>
      <c r="M6" s="62" t="s">
        <v>82</v>
      </c>
      <c r="N6" s="62" t="s">
        <v>83</v>
      </c>
      <c r="O6" s="62" t="s">
        <v>84</v>
      </c>
    </row>
    <row r="7" spans="2:17" s="8" customFormat="1" ht="15" hidden="1" customHeight="1" x14ac:dyDescent="0.7">
      <c r="B7" s="23"/>
      <c r="C7" s="23"/>
      <c r="D7" s="24"/>
      <c r="E7" s="24"/>
      <c r="F7" s="25"/>
      <c r="G7" s="26"/>
      <c r="H7" s="27"/>
      <c r="I7" s="27"/>
      <c r="J7" s="27"/>
      <c r="K7" s="27"/>
    </row>
    <row r="8" spans="2:17" s="14" customFormat="1" ht="15.75" customHeight="1" x14ac:dyDescent="0.25">
      <c r="B8" s="58" t="s">
        <v>89</v>
      </c>
      <c r="C8" s="63">
        <f>+SUM(IIBB:OTROS!C8)</f>
        <v>729043.3</v>
      </c>
      <c r="D8" s="63">
        <f>+SUM(IIBB:OTROS!D8)</f>
        <v>768506.5</v>
      </c>
      <c r="E8" s="63">
        <f>+SUM(IIBB:OTROS!E8)</f>
        <v>670256.30000000005</v>
      </c>
      <c r="F8" s="63">
        <f>+SUM(IIBB:OTROS!F8)</f>
        <v>789995.5</v>
      </c>
      <c r="G8" s="63">
        <f>+SUM(IIBB:OTROS!G8)</f>
        <v>794195</v>
      </c>
      <c r="H8" s="63">
        <f>+SUM(IIBB:OTROS!H8)</f>
        <v>790697.5</v>
      </c>
      <c r="I8" s="63">
        <f>+SUM(IIBB:OTROS!I8)</f>
        <v>785857.2</v>
      </c>
      <c r="J8" s="63">
        <f>+SUM(IIBB:OTROS!J8)</f>
        <v>891886.39999999991</v>
      </c>
      <c r="K8" s="63">
        <f>+SUM(IIBB:OTROS!K8)</f>
        <v>886387.8</v>
      </c>
      <c r="L8" s="63">
        <f>+SUM(IIBB:OTROS!L8)</f>
        <v>962840.59999999986</v>
      </c>
      <c r="M8" s="63">
        <f>+SUM(IIBB:OTROS!M8)</f>
        <v>938760.40000000014</v>
      </c>
      <c r="N8" s="63">
        <f>+SUM(IIBB:OTROS!N8)</f>
        <v>934708.3</v>
      </c>
      <c r="O8" s="64">
        <f>SUM(C8:N8)</f>
        <v>9943134.7999999989</v>
      </c>
      <c r="P8" s="12"/>
      <c r="Q8" s="13"/>
    </row>
    <row r="9" spans="2:17" s="11" customFormat="1" ht="15.75" customHeight="1" x14ac:dyDescent="0.25">
      <c r="B9" s="58" t="s">
        <v>41</v>
      </c>
      <c r="C9" s="63">
        <f>+SUM(IIBB:OTROS!C9)</f>
        <v>950706.14118697855</v>
      </c>
      <c r="D9" s="63">
        <f>+SUM(IIBB:OTROS!D9)</f>
        <v>921021.09867996094</v>
      </c>
      <c r="E9" s="63">
        <f>+SUM(IIBB:OTROS!E9)</f>
        <v>1083447.6339641132</v>
      </c>
      <c r="F9" s="63">
        <f>+SUM(IIBB:OTROS!F9)</f>
        <v>1104931.3200815662</v>
      </c>
      <c r="G9" s="63">
        <f>+SUM(IIBB:OTROS!G9)</f>
        <v>1162835.8300737394</v>
      </c>
      <c r="H9" s="63">
        <f>+SUM(IIBB:OTROS!H9)</f>
        <v>1145940.4683266503</v>
      </c>
      <c r="I9" s="63">
        <f>+SUM(IIBB:OTROS!I9)</f>
        <v>1215758.2702181821</v>
      </c>
      <c r="J9" s="63">
        <f>+SUM(IIBB:OTROS!J9)</f>
        <v>1208999.6488474286</v>
      </c>
      <c r="K9" s="63">
        <f>+SUM(IIBB:OTROS!K9)</f>
        <v>1295553.4442111105</v>
      </c>
      <c r="L9" s="63">
        <f>+SUM(IIBB:OTROS!L9)</f>
        <v>1221182.1209371667</v>
      </c>
      <c r="M9" s="63">
        <f>+SUM(IIBB:OTROS!M9)</f>
        <v>1316795.8293455476</v>
      </c>
      <c r="N9" s="63">
        <f>+SUM(IIBB:OTROS!N9)</f>
        <v>1320151.0036980279</v>
      </c>
      <c r="O9" s="64">
        <f>SUM(C9:N9)</f>
        <v>13947322.809570473</v>
      </c>
      <c r="P9" s="9"/>
      <c r="Q9" s="10"/>
    </row>
    <row r="10" spans="2:17" s="14" customFormat="1" ht="15.75" customHeight="1" x14ac:dyDescent="0.25">
      <c r="B10" s="58" t="s">
        <v>42</v>
      </c>
      <c r="C10" s="63">
        <f>+SUM(IIBB:OTROS!C10)</f>
        <v>18336.23873547</v>
      </c>
      <c r="D10" s="63">
        <f>+SUM(IIBB:OTROS!D10)</f>
        <v>16432.214010240001</v>
      </c>
      <c r="E10" s="63">
        <f>+SUM(IIBB:OTROS!E10)</f>
        <v>16871.125906550002</v>
      </c>
      <c r="F10" s="63">
        <f>+SUM(IIBB:OTROS!F10)</f>
        <v>18024.178827989999</v>
      </c>
      <c r="G10" s="63">
        <f>+SUM(IIBB:OTROS!G10)</f>
        <v>19390.639509100001</v>
      </c>
      <c r="H10" s="63">
        <f>+SUM(IIBB:OTROS!H10)</f>
        <v>18696.302141910001</v>
      </c>
      <c r="I10" s="63">
        <f>+SUM(IIBB:OTROS!I10)</f>
        <v>19169.052737859998</v>
      </c>
      <c r="J10" s="63">
        <f>+SUM(IIBB:OTROS!J10)</f>
        <v>18736.379354920002</v>
      </c>
      <c r="K10" s="63">
        <f>+SUM(IIBB:OTROS!K10)</f>
        <v>19756.7229659</v>
      </c>
      <c r="L10" s="63">
        <f>+SUM(IIBB:OTROS!L10)</f>
        <v>21018.335739490001</v>
      </c>
      <c r="M10" s="63">
        <f>+SUM(IIBB:OTROS!M10)</f>
        <v>19752.246307899997</v>
      </c>
      <c r="N10" s="63">
        <f>+SUM(IIBB:OTROS!N10)</f>
        <v>19101.915401000006</v>
      </c>
      <c r="O10" s="64">
        <f t="shared" ref="O10:O31" si="0">SUM(C10:N10)</f>
        <v>225285.35163833</v>
      </c>
      <c r="P10" s="12"/>
      <c r="Q10" s="13"/>
    </row>
    <row r="11" spans="2:17" s="14" customFormat="1" ht="15.75" customHeight="1" x14ac:dyDescent="0.25">
      <c r="B11" s="58" t="s">
        <v>43</v>
      </c>
      <c r="C11" s="63">
        <f>+SUM(IIBB:OTROS!C11)</f>
        <v>245612.79070799999</v>
      </c>
      <c r="D11" s="63">
        <f>+SUM(IIBB:OTROS!D11)</f>
        <v>323377.69737100002</v>
      </c>
      <c r="E11" s="63">
        <f>+SUM(IIBB:OTROS!E11)</f>
        <v>273707.70451572002</v>
      </c>
      <c r="F11" s="63">
        <f>+SUM(IIBB:OTROS!F11)</f>
        <v>268723.96748600004</v>
      </c>
      <c r="G11" s="63">
        <f>+SUM(IIBB:OTROS!G11)</f>
        <v>307499.58993900003</v>
      </c>
      <c r="H11" s="63">
        <f>+SUM(IIBB:OTROS!H11)</f>
        <v>286993.24305200001</v>
      </c>
      <c r="I11" s="63">
        <f>+SUM(IIBB:OTROS!I11)</f>
        <v>299514.64289500006</v>
      </c>
      <c r="J11" s="63">
        <f>+SUM(IIBB:OTROS!J11)</f>
        <v>317605.69934399996</v>
      </c>
      <c r="K11" s="63">
        <f>+SUM(IIBB:OTROS!K11)</f>
        <v>296315.55580699997</v>
      </c>
      <c r="L11" s="63">
        <f>+SUM(IIBB:OTROS!L11)</f>
        <v>310491.95011199999</v>
      </c>
      <c r="M11" s="63">
        <f>+SUM(IIBB:OTROS!M11)</f>
        <v>295877.08806899993</v>
      </c>
      <c r="N11" s="63">
        <f>+SUM(IIBB:OTROS!N11)</f>
        <v>346417.37785500003</v>
      </c>
      <c r="O11" s="64">
        <f t="shared" si="0"/>
        <v>3572137.3071537204</v>
      </c>
      <c r="P11" s="12"/>
      <c r="Q11" s="13"/>
    </row>
    <row r="12" spans="2:17" s="14" customFormat="1" ht="15.75" customHeight="1" x14ac:dyDescent="0.25">
      <c r="B12" s="58" t="s">
        <v>44</v>
      </c>
      <c r="C12" s="63">
        <f>+SUM(IIBB:OTROS!C12)</f>
        <v>28734.346707609999</v>
      </c>
      <c r="D12" s="63">
        <f>+SUM(IIBB:OTROS!D12)</f>
        <v>28538.730028260001</v>
      </c>
      <c r="E12" s="63">
        <f>+SUM(IIBB:OTROS!E12)</f>
        <v>27917.879667039997</v>
      </c>
      <c r="F12" s="63">
        <f>+SUM(IIBB:OTROS!F12)</f>
        <v>32056.73864598</v>
      </c>
      <c r="G12" s="63">
        <f>+SUM(IIBB:OTROS!G12)</f>
        <v>30922.658049632999</v>
      </c>
      <c r="H12" s="63">
        <f>+SUM(IIBB:OTROS!H12)</f>
        <v>31354.434730670004</v>
      </c>
      <c r="I12" s="63">
        <f>+SUM(IIBB:OTROS!I12)</f>
        <v>31063.300643340001</v>
      </c>
      <c r="J12" s="63">
        <f>+SUM(IIBB:OTROS!J12)</f>
        <v>34884.767924020001</v>
      </c>
      <c r="K12" s="63">
        <f>+SUM(IIBB:OTROS!K12)</f>
        <v>33979.572546580006</v>
      </c>
      <c r="L12" s="63">
        <f>+SUM(IIBB:OTROS!L12)</f>
        <v>33639.36985303001</v>
      </c>
      <c r="M12" s="63">
        <f>+SUM(IIBB:OTROS!M12)</f>
        <v>32248.958336159998</v>
      </c>
      <c r="N12" s="63">
        <f>+SUM(IIBB:OTROS!N12)</f>
        <v>33021.937902740006</v>
      </c>
      <c r="O12" s="64">
        <f t="shared" si="0"/>
        <v>378362.69503506302</v>
      </c>
      <c r="P12" s="12"/>
      <c r="Q12" s="13"/>
    </row>
    <row r="13" spans="2:17" s="14" customFormat="1" ht="15.75" customHeight="1" x14ac:dyDescent="0.25">
      <c r="B13" s="58" t="s">
        <v>45</v>
      </c>
      <c r="C13" s="63">
        <f>+SUM(IIBB:OTROS!C13)</f>
        <v>36653.146238360001</v>
      </c>
      <c r="D13" s="63">
        <f>+SUM(IIBB:OTROS!D13)</f>
        <v>34156.383000000002</v>
      </c>
      <c r="E13" s="63">
        <f>+SUM(IIBB:OTROS!E13)</f>
        <v>32867.357999999993</v>
      </c>
      <c r="F13" s="63">
        <f>+SUM(IIBB:OTROS!F13)</f>
        <v>34798.291000000005</v>
      </c>
      <c r="G13" s="63">
        <f>+SUM(IIBB:OTROS!G13)</f>
        <v>37589.457643039997</v>
      </c>
      <c r="H13" s="63">
        <f>+SUM(IIBB:OTROS!H13)</f>
        <v>37235.107325340003</v>
      </c>
      <c r="I13" s="63">
        <f>+SUM(IIBB:OTROS!I13)</f>
        <v>39078.434337309998</v>
      </c>
      <c r="J13" s="63">
        <f>+SUM(IIBB:OTROS!J13)</f>
        <v>40519.706163629999</v>
      </c>
      <c r="K13" s="63">
        <f>+SUM(IIBB:OTROS!K13)</f>
        <v>39217.47152241</v>
      </c>
      <c r="L13" s="63">
        <f>+SUM(IIBB:OTROS!L13)</f>
        <v>39039.599631000005</v>
      </c>
      <c r="M13" s="63">
        <f>+SUM(IIBB:OTROS!M13)</f>
        <v>38088.095555489999</v>
      </c>
      <c r="N13" s="63">
        <f>+SUM(IIBB:OTROS!N13)</f>
        <v>40385.324970539994</v>
      </c>
      <c r="O13" s="64">
        <f t="shared" si="0"/>
        <v>449628.37538712</v>
      </c>
      <c r="P13" s="12"/>
      <c r="Q13" s="13"/>
    </row>
    <row r="14" spans="2:17" s="14" customFormat="1" ht="15.75" customHeight="1" x14ac:dyDescent="0.25">
      <c r="B14" s="59" t="s">
        <v>46</v>
      </c>
      <c r="C14" s="63">
        <f>+SUM(IIBB:OTROS!C14)</f>
        <v>43192.59079704</v>
      </c>
      <c r="D14" s="63">
        <f>+SUM(IIBB:OTROS!D14)</f>
        <v>43472.340932829997</v>
      </c>
      <c r="E14" s="63">
        <f>+SUM(IIBB:OTROS!E14)</f>
        <v>42680.581779150001</v>
      </c>
      <c r="F14" s="63">
        <f>+SUM(IIBB:OTROS!F14)</f>
        <v>43723.679473960001</v>
      </c>
      <c r="G14" s="63">
        <f>+SUM(IIBB:OTROS!G14)</f>
        <v>45336.78039046999</v>
      </c>
      <c r="H14" s="63">
        <f>+SUM(IIBB:OTROS!H14)</f>
        <v>46690.25123614</v>
      </c>
      <c r="I14" s="63">
        <f>+SUM(IIBB:OTROS!I14)</f>
        <v>50866.393726769995</v>
      </c>
      <c r="J14" s="63">
        <f>+SUM(IIBB:OTROS!J14)</f>
        <v>51775.208817520004</v>
      </c>
      <c r="K14" s="63">
        <f>+SUM(IIBB:OTROS!K14)</f>
        <v>51025.487166289997</v>
      </c>
      <c r="L14" s="63">
        <f>+SUM(IIBB:OTROS!L14)</f>
        <v>56080.637723830012</v>
      </c>
      <c r="M14" s="63">
        <f>+SUM(IIBB:OTROS!M14)</f>
        <v>50285.395986280004</v>
      </c>
      <c r="N14" s="63">
        <f>+SUM(IIBB:OTROS!N14)</f>
        <v>54337.793401739997</v>
      </c>
      <c r="O14" s="64">
        <f t="shared" si="0"/>
        <v>579467.14143202011</v>
      </c>
      <c r="P14" s="12"/>
      <c r="Q14" s="13"/>
    </row>
    <row r="15" spans="2:17" s="14" customFormat="1" ht="15.75" customHeight="1" x14ac:dyDescent="0.25">
      <c r="B15" s="58" t="s">
        <v>47</v>
      </c>
      <c r="C15" s="63">
        <f>+SUM(IIBB:OTROS!C15)</f>
        <v>60611.28441600001</v>
      </c>
      <c r="D15" s="63">
        <f>+SUM(IIBB:OTROS!D15)</f>
        <v>56926.820725999998</v>
      </c>
      <c r="E15" s="63">
        <f>+SUM(IIBB:OTROS!E15)</f>
        <v>73431.183093</v>
      </c>
      <c r="F15" s="63">
        <f>+SUM(IIBB:OTROS!F15)</f>
        <v>75444.237759000011</v>
      </c>
      <c r="G15" s="63">
        <f>+SUM(IIBB:OTROS!G15)</f>
        <v>94545.993644000002</v>
      </c>
      <c r="H15" s="63">
        <f>+SUM(IIBB:OTROS!H15)</f>
        <v>77348.22015400001</v>
      </c>
      <c r="I15" s="63">
        <f>+SUM(IIBB:OTROS!I15)</f>
        <v>90239.404708000002</v>
      </c>
      <c r="J15" s="63">
        <f>+SUM(IIBB:OTROS!J15)</f>
        <v>83455.127175999995</v>
      </c>
      <c r="K15" s="63">
        <f>+SUM(IIBB:OTROS!K15)</f>
        <v>92340.689419000002</v>
      </c>
      <c r="L15" s="63">
        <f>+SUM(IIBB:OTROS!L15)</f>
        <v>98257.182289999997</v>
      </c>
      <c r="M15" s="63">
        <f>+SUM(IIBB:OTROS!M15)</f>
        <v>88651.524583999999</v>
      </c>
      <c r="N15" s="63">
        <f>+SUM(IIBB:OTROS!N15)</f>
        <v>97317.387021999995</v>
      </c>
      <c r="O15" s="64">
        <f t="shared" si="0"/>
        <v>988569.05499100022</v>
      </c>
      <c r="P15" s="12"/>
      <c r="Q15" s="13"/>
    </row>
    <row r="16" spans="2:17" s="14" customFormat="1" ht="15.75" customHeight="1" x14ac:dyDescent="0.25">
      <c r="B16" s="58" t="s">
        <v>48</v>
      </c>
      <c r="C16" s="63">
        <f>+SUM(IIBB:OTROS!C16)</f>
        <v>11325.821105290001</v>
      </c>
      <c r="D16" s="63">
        <f>+SUM(IIBB:OTROS!D16)</f>
        <v>12697.26913146</v>
      </c>
      <c r="E16" s="63">
        <f>+SUM(IIBB:OTROS!E16)</f>
        <v>12329.502983769999</v>
      </c>
      <c r="F16" s="63">
        <f>+SUM(IIBB:OTROS!F16)</f>
        <v>12926.85718422</v>
      </c>
      <c r="G16" s="63">
        <f>+SUM(IIBB:OTROS!G16)</f>
        <v>13492.205262289999</v>
      </c>
      <c r="H16" s="63">
        <f>+SUM(IIBB:OTROS!H16)</f>
        <v>13537.036087719998</v>
      </c>
      <c r="I16" s="63">
        <f>+SUM(IIBB:OTROS!I16)</f>
        <v>13865.936599249999</v>
      </c>
      <c r="J16" s="63">
        <f>+SUM(IIBB:OTROS!J16)</f>
        <v>15126.354382809997</v>
      </c>
      <c r="K16" s="63">
        <f>+SUM(IIBB:OTROS!K16)</f>
        <v>14521.87682164</v>
      </c>
      <c r="L16" s="63">
        <f>+SUM(IIBB:OTROS!L16)</f>
        <v>15097.367988120001</v>
      </c>
      <c r="M16" s="63">
        <f>+SUM(IIBB:OTROS!M16)</f>
        <v>14054.37240049</v>
      </c>
      <c r="N16" s="63">
        <f>+SUM(IIBB:OTROS!N16)</f>
        <v>14671.575682290002</v>
      </c>
      <c r="O16" s="64">
        <f t="shared" si="0"/>
        <v>163646.17562935001</v>
      </c>
      <c r="P16" s="12"/>
      <c r="Q16" s="13"/>
    </row>
    <row r="17" spans="2:17" s="14" customFormat="1" ht="15.75" customHeight="1" x14ac:dyDescent="0.25">
      <c r="B17" s="58" t="s">
        <v>49</v>
      </c>
      <c r="C17" s="63">
        <f>+SUM(IIBB:OTROS!C17)</f>
        <v>22431.917430000001</v>
      </c>
      <c r="D17" s="63">
        <f>+SUM(IIBB:OTROS!D17)</f>
        <v>24405.168010000001</v>
      </c>
      <c r="E17" s="63">
        <f>+SUM(IIBB:OTROS!E17)</f>
        <v>21727.307844999999</v>
      </c>
      <c r="F17" s="63">
        <f>+SUM(IIBB:OTROS!F17)</f>
        <v>22081.212407999999</v>
      </c>
      <c r="G17" s="63">
        <f>+SUM(IIBB:OTROS!G17)</f>
        <v>23228.005617999999</v>
      </c>
      <c r="H17" s="63">
        <f>+SUM(IIBB:OTROS!H17)</f>
        <v>23023.956468</v>
      </c>
      <c r="I17" s="63">
        <f>+SUM(IIBB:OTROS!I17)</f>
        <v>24614.642839</v>
      </c>
      <c r="J17" s="63">
        <f>+SUM(IIBB:OTROS!J17)</f>
        <v>25719.486594000002</v>
      </c>
      <c r="K17" s="63">
        <f>+SUM(IIBB:OTROS!K17)</f>
        <v>25364.770191000003</v>
      </c>
      <c r="L17" s="63">
        <f>+SUM(IIBB:OTROS!L17)</f>
        <v>27098.845608999996</v>
      </c>
      <c r="M17" s="63">
        <f>+SUM(IIBB:OTROS!M17)</f>
        <v>25488.713906000001</v>
      </c>
      <c r="N17" s="63">
        <f>+SUM(IIBB:OTROS!N17)</f>
        <v>26648.478457999998</v>
      </c>
      <c r="O17" s="64">
        <f t="shared" si="0"/>
        <v>291832.50537600002</v>
      </c>
      <c r="P17" s="12"/>
      <c r="Q17" s="13"/>
    </row>
    <row r="18" spans="2:17" s="11" customFormat="1" ht="15.75" customHeight="1" x14ac:dyDescent="0.25">
      <c r="B18" s="58" t="s">
        <v>50</v>
      </c>
      <c r="C18" s="63">
        <f>+SUM(IIBB:OTROS!C18)</f>
        <v>30619.836027220001</v>
      </c>
      <c r="D18" s="63">
        <f>+SUM(IIBB:OTROS!D18)</f>
        <v>29182.769710589997</v>
      </c>
      <c r="E18" s="63">
        <f>+SUM(IIBB:OTROS!E18)</f>
        <v>26938.103661409994</v>
      </c>
      <c r="F18" s="63">
        <f>+SUM(IIBB:OTROS!F18)</f>
        <v>33237.303704899998</v>
      </c>
      <c r="G18" s="63">
        <f>+SUM(IIBB:OTROS!G18)</f>
        <v>32327.647826889999</v>
      </c>
      <c r="H18" s="63">
        <f>+SUM(IIBB:OTROS!H18)</f>
        <v>37856.425337369998</v>
      </c>
      <c r="I18" s="63">
        <f>+SUM(IIBB:OTROS!I18)</f>
        <v>37527.36809589</v>
      </c>
      <c r="J18" s="63">
        <f>+SUM(IIBB:OTROS!J18)</f>
        <v>40021.02525875</v>
      </c>
      <c r="K18" s="63">
        <f>+SUM(IIBB:OTROS!K18)</f>
        <v>41342.062671260006</v>
      </c>
      <c r="L18" s="63">
        <f>+SUM(IIBB:OTROS!L18)</f>
        <v>40010.08297173</v>
      </c>
      <c r="M18" s="63">
        <f>+SUM(IIBB:OTROS!M18)</f>
        <v>35329.226010819999</v>
      </c>
      <c r="N18" s="63">
        <f>+SUM(IIBB:OTROS!N18)</f>
        <v>46704.530834299992</v>
      </c>
      <c r="O18" s="64">
        <f t="shared" si="0"/>
        <v>431096.38211112999</v>
      </c>
      <c r="P18" s="9"/>
      <c r="Q18" s="10"/>
    </row>
    <row r="19" spans="2:17" s="14" customFormat="1" ht="15.75" customHeight="1" x14ac:dyDescent="0.25">
      <c r="B19" s="58" t="s">
        <v>51</v>
      </c>
      <c r="C19" s="63">
        <f>+SUM(IIBB:OTROS!C19)</f>
        <v>13522.49602898</v>
      </c>
      <c r="D19" s="63">
        <f>+SUM(IIBB:OTROS!D19)</f>
        <v>10991.777343530001</v>
      </c>
      <c r="E19" s="63">
        <f>+SUM(IIBB:OTROS!E19)</f>
        <v>12293.221340640001</v>
      </c>
      <c r="F19" s="63">
        <f>+SUM(IIBB:OTROS!F19)</f>
        <v>13050.151336529998</v>
      </c>
      <c r="G19" s="63">
        <f>+SUM(IIBB:OTROS!G19)</f>
        <v>12269.839735240001</v>
      </c>
      <c r="H19" s="63">
        <f>+SUM(IIBB:OTROS!H19)</f>
        <v>12730.909562329998</v>
      </c>
      <c r="I19" s="63">
        <f>+SUM(IIBB:OTROS!I19)</f>
        <v>13484.954846050001</v>
      </c>
      <c r="J19" s="63">
        <f>+SUM(IIBB:OTROS!J19)</f>
        <v>14285.073981173</v>
      </c>
      <c r="K19" s="63">
        <f>+SUM(IIBB:OTROS!K19)</f>
        <v>14454.31830096</v>
      </c>
      <c r="L19" s="63">
        <f>+SUM(IIBB:OTROS!L19)</f>
        <v>13519.559088920001</v>
      </c>
      <c r="M19" s="63">
        <f>+SUM(IIBB:OTROS!M19)</f>
        <v>13221.418846979999</v>
      </c>
      <c r="N19" s="63">
        <f>+SUM(IIBB:OTROS!N19)</f>
        <v>13152.4549425</v>
      </c>
      <c r="O19" s="64">
        <f t="shared" si="0"/>
        <v>156976.17535383301</v>
      </c>
      <c r="P19" s="12"/>
      <c r="Q19" s="13"/>
    </row>
    <row r="20" spans="2:17" s="14" customFormat="1" ht="15.75" customHeight="1" x14ac:dyDescent="0.25">
      <c r="B20" s="58" t="s">
        <v>52</v>
      </c>
      <c r="C20" s="63">
        <f>+SUM(IIBB:OTROS!C20)</f>
        <v>98234.460774000006</v>
      </c>
      <c r="D20" s="63">
        <f>+SUM(IIBB:OTROS!D20)</f>
        <v>114454.77348100001</v>
      </c>
      <c r="E20" s="63">
        <f>+SUM(IIBB:OTROS!E20)</f>
        <v>111048.95255</v>
      </c>
      <c r="F20" s="63">
        <f>+SUM(IIBB:OTROS!F20)</f>
        <v>100254.13414099999</v>
      </c>
      <c r="G20" s="63">
        <f>+SUM(IIBB:OTROS!G20)</f>
        <v>111405.83842799999</v>
      </c>
      <c r="H20" s="63">
        <f>+SUM(IIBB:OTROS!H20)</f>
        <v>108253.12915000001</v>
      </c>
      <c r="I20" s="63">
        <f>+SUM(IIBB:OTROS!I20)</f>
        <v>114754.222089</v>
      </c>
      <c r="J20" s="63">
        <f>+SUM(IIBB:OTROS!J20)</f>
        <v>120940.54991989999</v>
      </c>
      <c r="K20" s="63">
        <f>+SUM(IIBB:OTROS!K20)</f>
        <v>123136.66857879999</v>
      </c>
      <c r="L20" s="63">
        <f>+SUM(IIBB:OTROS!L20)</f>
        <v>125803.2945668</v>
      </c>
      <c r="M20" s="63">
        <f>+SUM(IIBB:OTROS!M20)</f>
        <v>128557.95126320001</v>
      </c>
      <c r="N20" s="63">
        <f>+SUM(IIBB:OTROS!N20)</f>
        <v>128091.494972</v>
      </c>
      <c r="O20" s="64">
        <f t="shared" si="0"/>
        <v>1384935.4699137001</v>
      </c>
      <c r="P20" s="12"/>
      <c r="Q20" s="13"/>
    </row>
    <row r="21" spans="2:17" s="14" customFormat="1" ht="15.75" customHeight="1" x14ac:dyDescent="0.25">
      <c r="B21" s="58" t="s">
        <v>53</v>
      </c>
      <c r="C21" s="63">
        <f>+SUM(IIBB:OTROS!C21)</f>
        <v>91874.480481549981</v>
      </c>
      <c r="D21" s="63">
        <f>+SUM(IIBB:OTROS!D21)</f>
        <v>84499.253360949995</v>
      </c>
      <c r="E21" s="63">
        <f>+SUM(IIBB:OTROS!E21)</f>
        <v>77283.232631340012</v>
      </c>
      <c r="F21" s="63">
        <f>+SUM(IIBB:OTROS!F21)</f>
        <v>80360.975846049987</v>
      </c>
      <c r="G21" s="63">
        <f>+SUM(IIBB:OTROS!G21)</f>
        <v>88403.106043029999</v>
      </c>
      <c r="H21" s="63">
        <f>+SUM(IIBB:OTROS!H21)</f>
        <v>87023.961146450005</v>
      </c>
      <c r="I21" s="63">
        <f>+SUM(IIBB:OTROS!I21)</f>
        <v>84240.73620472</v>
      </c>
      <c r="J21" s="63">
        <f>+SUM(IIBB:OTROS!J21)</f>
        <v>87195.132701809998</v>
      </c>
      <c r="K21" s="63">
        <f>+SUM(IIBB:OTROS!K21)</f>
        <v>81522.882031659989</v>
      </c>
      <c r="L21" s="63">
        <f>+SUM(IIBB:OTROS!L21)</f>
        <v>87473.553438860006</v>
      </c>
      <c r="M21" s="63">
        <f>+SUM(IIBB:OTROS!M21)</f>
        <v>87886.701049320021</v>
      </c>
      <c r="N21" s="63">
        <f>+SUM(IIBB:OTROS!N21)</f>
        <v>86746.438260759984</v>
      </c>
      <c r="O21" s="64">
        <f t="shared" si="0"/>
        <v>1024510.4531965</v>
      </c>
      <c r="P21" s="15"/>
      <c r="Q21" s="13"/>
    </row>
    <row r="22" spans="2:17" s="14" customFormat="1" ht="15.75" customHeight="1" x14ac:dyDescent="0.25">
      <c r="B22" s="58" t="s">
        <v>54</v>
      </c>
      <c r="C22" s="63">
        <f>+SUM(IIBB:OTROS!C22)</f>
        <v>132242.29049120002</v>
      </c>
      <c r="D22" s="63">
        <f>+SUM(IIBB:OTROS!D22)</f>
        <v>122427.87919656999</v>
      </c>
      <c r="E22" s="63">
        <f>+SUM(IIBB:OTROS!E22)</f>
        <v>116394.98113891001</v>
      </c>
      <c r="F22" s="63">
        <f>+SUM(IIBB:OTROS!F22)</f>
        <v>129950.94096682</v>
      </c>
      <c r="G22" s="63">
        <f>+SUM(IIBB:OTROS!G22)</f>
        <v>133207.99072930001</v>
      </c>
      <c r="H22" s="63">
        <f>+SUM(IIBB:OTROS!H22)</f>
        <v>145088.72791019003</v>
      </c>
      <c r="I22" s="63">
        <f>+SUM(IIBB:OTROS!I22)</f>
        <v>156773.08748771</v>
      </c>
      <c r="J22" s="63">
        <f>+SUM(IIBB:OTROS!J22)</f>
        <v>160849.82682413</v>
      </c>
      <c r="K22" s="63">
        <f>+SUM(IIBB:OTROS!K22)</f>
        <v>168670.01021413997</v>
      </c>
      <c r="L22" s="63">
        <f>+SUM(IIBB:OTROS!L22)</f>
        <v>164219.26913673998</v>
      </c>
      <c r="M22" s="63">
        <f>+SUM(IIBB:OTROS!M22)</f>
        <v>151340.88076247001</v>
      </c>
      <c r="N22" s="63">
        <f>+SUM(IIBB:OTROS!N22)</f>
        <v>164624.00496357997</v>
      </c>
      <c r="O22" s="64">
        <f t="shared" si="0"/>
        <v>1745789.8898217599</v>
      </c>
      <c r="P22" s="15"/>
      <c r="Q22" s="13"/>
    </row>
    <row r="23" spans="2:17" s="14" customFormat="1" ht="15.75" customHeight="1" x14ac:dyDescent="0.25">
      <c r="B23" s="58" t="s">
        <v>55</v>
      </c>
      <c r="C23" s="63">
        <f>+SUM(IIBB:OTROS!C23)</f>
        <v>56473.510267490004</v>
      </c>
      <c r="D23" s="63">
        <f>+SUM(IIBB:OTROS!D23)</f>
        <v>67540.939684990008</v>
      </c>
      <c r="E23" s="63">
        <f>+SUM(IIBB:OTROS!E23)</f>
        <v>51236.451045949994</v>
      </c>
      <c r="F23" s="63">
        <f>+SUM(IIBB:OTROS!F23)</f>
        <v>48664.984956330009</v>
      </c>
      <c r="G23" s="63">
        <f>+SUM(IIBB:OTROS!G23)</f>
        <v>57412.027276710003</v>
      </c>
      <c r="H23" s="63">
        <f>+SUM(IIBB:OTROS!H23)</f>
        <v>55193.543542420011</v>
      </c>
      <c r="I23" s="63">
        <f>+SUM(IIBB:OTROS!I23)</f>
        <v>57388.885245990001</v>
      </c>
      <c r="J23" s="63">
        <f>+SUM(IIBB:OTROS!J23)</f>
        <v>62748.163361730003</v>
      </c>
      <c r="K23" s="63">
        <f>+SUM(IIBB:OTROS!K23)</f>
        <v>62074.632438250002</v>
      </c>
      <c r="L23" s="63">
        <f>+SUM(IIBB:OTROS!L23)</f>
        <v>61885.41415366</v>
      </c>
      <c r="M23" s="63">
        <f>+SUM(IIBB:OTROS!M23)</f>
        <v>59364.52104865</v>
      </c>
      <c r="N23" s="63">
        <f>+SUM(IIBB:OTROS!N23)</f>
        <v>66528.98796816</v>
      </c>
      <c r="O23" s="64">
        <f t="shared" si="0"/>
        <v>706512.06099033006</v>
      </c>
      <c r="P23" s="15"/>
      <c r="Q23" s="13"/>
    </row>
    <row r="24" spans="2:17" s="14" customFormat="1" ht="15.75" customHeight="1" x14ac:dyDescent="0.25">
      <c r="B24" s="58" t="s">
        <v>56</v>
      </c>
      <c r="C24" s="63">
        <f>+SUM(IIBB:OTROS!C24)</f>
        <v>60153.133653549994</v>
      </c>
      <c r="D24" s="63">
        <f>+SUM(IIBB:OTROS!D24)</f>
        <v>55472.583600689999</v>
      </c>
      <c r="E24" s="63">
        <f>+SUM(IIBB:OTROS!E24)</f>
        <v>54063.230571229993</v>
      </c>
      <c r="F24" s="63">
        <f>+SUM(IIBB:OTROS!F24)</f>
        <v>57345.300645620002</v>
      </c>
      <c r="G24" s="63">
        <f>+SUM(IIBB:OTROS!G24)</f>
        <v>62962.881531630002</v>
      </c>
      <c r="H24" s="63">
        <f>+SUM(IIBB:OTROS!H24)</f>
        <v>59418.650657600003</v>
      </c>
      <c r="I24" s="63">
        <f>+SUM(IIBB:OTROS!I24)</f>
        <v>64443.199783069998</v>
      </c>
      <c r="J24" s="63">
        <f>+SUM(IIBB:OTROS!J24)</f>
        <v>72990.568532379999</v>
      </c>
      <c r="K24" s="63">
        <f>+SUM(IIBB:OTROS!K24)</f>
        <v>69516.544019749999</v>
      </c>
      <c r="L24" s="63">
        <f>+SUM(IIBB:OTROS!L24)</f>
        <v>70108.173530570013</v>
      </c>
      <c r="M24" s="63">
        <f>+SUM(IIBB:OTROS!M24)</f>
        <v>70935.286591250013</v>
      </c>
      <c r="N24" s="63">
        <f>+SUM(IIBB:OTROS!N24)</f>
        <v>68239.040156670002</v>
      </c>
      <c r="O24" s="64">
        <f t="shared" si="0"/>
        <v>765648.59327401</v>
      </c>
      <c r="P24" s="15"/>
      <c r="Q24" s="13"/>
    </row>
    <row r="25" spans="2:17" s="14" customFormat="1" ht="15.75" customHeight="1" x14ac:dyDescent="0.25">
      <c r="B25" s="58" t="s">
        <v>57</v>
      </c>
      <c r="C25" s="63">
        <f>+SUM(IIBB:OTROS!C25)</f>
        <v>22974.744127670001</v>
      </c>
      <c r="D25" s="63">
        <f>+SUM(IIBB:OTROS!D25)</f>
        <v>23126.546177999997</v>
      </c>
      <c r="E25" s="63">
        <f>+SUM(IIBB:OTROS!E25)</f>
        <v>22596.198700000001</v>
      </c>
      <c r="F25" s="63">
        <f>+SUM(IIBB:OTROS!F25)</f>
        <v>25763.443047000001</v>
      </c>
      <c r="G25" s="63">
        <f>+SUM(IIBB:OTROS!G25)</f>
        <v>29749.596975</v>
      </c>
      <c r="H25" s="63">
        <f>+SUM(IIBB:OTROS!H25)</f>
        <v>26396.140687999999</v>
      </c>
      <c r="I25" s="63">
        <f>+SUM(IIBB:OTROS!I25)</f>
        <v>26741.253015999999</v>
      </c>
      <c r="J25" s="63">
        <f>+SUM(IIBB:OTROS!J25)</f>
        <v>28027.662985999999</v>
      </c>
      <c r="K25" s="63">
        <f>+SUM(IIBB:OTROS!K25)</f>
        <v>27990.360085</v>
      </c>
      <c r="L25" s="63">
        <f>+SUM(IIBB:OTROS!L25)</f>
        <v>29273.654122</v>
      </c>
      <c r="M25" s="63">
        <f>+SUM(IIBB:OTROS!M25)</f>
        <v>28915.157522999998</v>
      </c>
      <c r="N25" s="63">
        <f>+SUM(IIBB:OTROS!N25)</f>
        <v>30939.241511</v>
      </c>
      <c r="O25" s="64">
        <f t="shared" si="0"/>
        <v>322493.99895866995</v>
      </c>
      <c r="P25" s="15"/>
      <c r="Q25" s="13"/>
    </row>
    <row r="26" spans="2:17" s="14" customFormat="1" ht="15.75" customHeight="1" x14ac:dyDescent="0.25">
      <c r="B26" s="58" t="s">
        <v>58</v>
      </c>
      <c r="C26" s="63">
        <f>+SUM(IIBB:OTROS!C26)</f>
        <v>25661.23409356</v>
      </c>
      <c r="D26" s="63">
        <f>+SUM(IIBB:OTROS!D26)</f>
        <v>25455.285659749996</v>
      </c>
      <c r="E26" s="63">
        <f>+SUM(IIBB:OTROS!E26)</f>
        <v>31012.033252519996</v>
      </c>
      <c r="F26" s="63">
        <f>+SUM(IIBB:OTROS!F26)</f>
        <v>24380.004096380002</v>
      </c>
      <c r="G26" s="63">
        <f>+SUM(IIBB:OTROS!G26)</f>
        <v>26158.69164103</v>
      </c>
      <c r="H26" s="63">
        <f>+SUM(IIBB:OTROS!H26)</f>
        <v>26438.972452879996</v>
      </c>
      <c r="I26" s="63">
        <f>+SUM(IIBB:OTROS!I26)</f>
        <v>28621.588772980002</v>
      </c>
      <c r="J26" s="63">
        <f>+SUM(IIBB:OTROS!J26)</f>
        <v>29151.964043399999</v>
      </c>
      <c r="K26" s="63">
        <f>+SUM(IIBB:OTROS!K26)</f>
        <v>28235.574936959998</v>
      </c>
      <c r="L26" s="63">
        <f>+SUM(IIBB:OTROS!L26)</f>
        <v>28739.311864059997</v>
      </c>
      <c r="M26" s="63">
        <f>+SUM(IIBB:OTROS!M26)</f>
        <v>30341.147912390003</v>
      </c>
      <c r="N26" s="63">
        <f>+SUM(IIBB:OTROS!N26)</f>
        <v>32192.860363</v>
      </c>
      <c r="O26" s="64">
        <f t="shared" si="0"/>
        <v>336388.66908890998</v>
      </c>
      <c r="P26" s="15"/>
      <c r="Q26" s="13"/>
    </row>
    <row r="27" spans="2:17" s="14" customFormat="1" ht="15.75" customHeight="1" x14ac:dyDescent="0.25">
      <c r="B27" s="58" t="s">
        <v>59</v>
      </c>
      <c r="C27" s="63">
        <f>+SUM(IIBB:OTROS!C27)</f>
        <v>32784.452457839994</v>
      </c>
      <c r="D27" s="63">
        <f>+SUM(IIBB:OTROS!D27)</f>
        <v>29989.086748739999</v>
      </c>
      <c r="E27" s="63">
        <f>+SUM(IIBB:OTROS!E27)</f>
        <v>28979.342047959999</v>
      </c>
      <c r="F27" s="63">
        <f>+SUM(IIBB:OTROS!F27)</f>
        <v>29109.919469320001</v>
      </c>
      <c r="G27" s="63">
        <f>+SUM(IIBB:OTROS!G27)</f>
        <v>32161.64003192</v>
      </c>
      <c r="H27" s="63">
        <f>+SUM(IIBB:OTROS!H27)</f>
        <v>29515.033989790001</v>
      </c>
      <c r="I27" s="63">
        <f>+SUM(IIBB:OTROS!I27)</f>
        <v>30859.703077159997</v>
      </c>
      <c r="J27" s="63">
        <f>+SUM(IIBB:OTROS!J27)</f>
        <v>31564.308558730001</v>
      </c>
      <c r="K27" s="63">
        <f>+SUM(IIBB:OTROS!K27)</f>
        <v>30711.558224869998</v>
      </c>
      <c r="L27" s="63">
        <f>+SUM(IIBB:OTROS!L27)</f>
        <v>31898.006342749999</v>
      </c>
      <c r="M27" s="63">
        <f>+SUM(IIBB:OTROS!M27)</f>
        <v>32288.994543139997</v>
      </c>
      <c r="N27" s="63">
        <f>+SUM(IIBB:OTROS!N27)</f>
        <v>34901.394415269999</v>
      </c>
      <c r="O27" s="64">
        <f t="shared" si="0"/>
        <v>374763.43990748998</v>
      </c>
      <c r="P27" s="15"/>
      <c r="Q27" s="13"/>
    </row>
    <row r="28" spans="2:17" s="14" customFormat="1" ht="15.75" customHeight="1" x14ac:dyDescent="0.25">
      <c r="B28" s="58" t="s">
        <v>88</v>
      </c>
      <c r="C28" s="63">
        <f>+SUM(IIBB:OTROS!C28)</f>
        <v>199820.30486535002</v>
      </c>
      <c r="D28" s="63">
        <f>+SUM(IIBB:OTROS!D28)</f>
        <v>255394.73317354001</v>
      </c>
      <c r="E28" s="63">
        <f>+SUM(IIBB:OTROS!E28)</f>
        <v>185425.25299359998</v>
      </c>
      <c r="F28" s="63">
        <f>+SUM(IIBB:OTROS!F28)</f>
        <v>209100.70043468999</v>
      </c>
      <c r="G28" s="63">
        <f>+SUM(IIBB:OTROS!G28)</f>
        <v>225645.88237429003</v>
      </c>
      <c r="H28" s="63">
        <f>+SUM(IIBB:OTROS!H28)</f>
        <v>245979.94689854997</v>
      </c>
      <c r="I28" s="63">
        <f>+SUM(IIBB:OTROS!I28)</f>
        <v>248319.53881985004</v>
      </c>
      <c r="J28" s="63">
        <f>+SUM(IIBB:OTROS!J28)</f>
        <v>262501.99404243001</v>
      </c>
      <c r="K28" s="63">
        <f>+SUM(IIBB:OTROS!K28)</f>
        <v>259789.16534905005</v>
      </c>
      <c r="L28" s="63">
        <f>+SUM(IIBB:OTROS!L28)</f>
        <v>274085.02228942001</v>
      </c>
      <c r="M28" s="63">
        <f>+SUM(IIBB:OTROS!M28)</f>
        <v>248775.26622725002</v>
      </c>
      <c r="N28" s="63">
        <f>+SUM(IIBB:OTROS!N28)</f>
        <v>270471.2784444</v>
      </c>
      <c r="O28" s="64">
        <f t="shared" si="0"/>
        <v>2885309.0859124204</v>
      </c>
      <c r="P28" s="15"/>
      <c r="Q28" s="13"/>
    </row>
    <row r="29" spans="2:17" s="11" customFormat="1" ht="15.75" customHeight="1" x14ac:dyDescent="0.25">
      <c r="B29" s="58" t="s">
        <v>61</v>
      </c>
      <c r="C29" s="63">
        <f>+SUM(IIBB:OTROS!C29)</f>
        <v>17611.473024079998</v>
      </c>
      <c r="D29" s="63">
        <f>+SUM(IIBB:OTROS!D29)</f>
        <v>16014.46222386</v>
      </c>
      <c r="E29" s="63">
        <f>+SUM(IIBB:OTROS!E29)</f>
        <v>17564.563443229999</v>
      </c>
      <c r="F29" s="63">
        <f>+SUM(IIBB:OTROS!F29)</f>
        <v>23719.965473120003</v>
      </c>
      <c r="G29" s="63">
        <f>+SUM(IIBB:OTROS!G29)</f>
        <v>20976.249878769999</v>
      </c>
      <c r="H29" s="63">
        <f>+SUM(IIBB:OTROS!H29)</f>
        <v>22887.981122010002</v>
      </c>
      <c r="I29" s="63">
        <f>+SUM(IIBB:OTROS!I29)</f>
        <v>22913.60812619</v>
      </c>
      <c r="J29" s="63">
        <f>+SUM(IIBB:OTROS!J29)</f>
        <v>22997.610412779999</v>
      </c>
      <c r="K29" s="63">
        <f>+SUM(IIBB:OTROS!K29)</f>
        <v>23019.521795429999</v>
      </c>
      <c r="L29" s="63">
        <f>+SUM(IIBB:OTROS!L29)</f>
        <v>23365.747341790004</v>
      </c>
      <c r="M29" s="63">
        <f>+SUM(IIBB:OTROS!M29)</f>
        <v>24845.041279360001</v>
      </c>
      <c r="N29" s="63">
        <f>+SUM(IIBB:OTROS!N29)</f>
        <v>22468.188532100005</v>
      </c>
      <c r="O29" s="64">
        <f t="shared" si="0"/>
        <v>258384.41265272</v>
      </c>
      <c r="P29" s="12"/>
      <c r="Q29" s="10"/>
    </row>
    <row r="30" spans="2:17" s="14" customFormat="1" ht="15.75" customHeight="1" x14ac:dyDescent="0.25">
      <c r="B30" s="58" t="s">
        <v>62</v>
      </c>
      <c r="C30" s="63">
        <f>+SUM(IIBB:OTROS!C30)</f>
        <v>85679.582016</v>
      </c>
      <c r="D30" s="63">
        <f>+SUM(IIBB:OTROS!D30)</f>
        <v>81197.040766000006</v>
      </c>
      <c r="E30" s="63">
        <f>+SUM(IIBB:OTROS!E30)</f>
        <v>77532.501067999998</v>
      </c>
      <c r="F30" s="63">
        <f>+SUM(IIBB:OTROS!F30)</f>
        <v>82896.195921999984</v>
      </c>
      <c r="G30" s="63">
        <f>+SUM(IIBB:OTROS!G30)</f>
        <v>93092.749584000005</v>
      </c>
      <c r="H30" s="63">
        <f>+SUM(IIBB:OTROS!H30)</f>
        <v>94603.825102999996</v>
      </c>
      <c r="I30" s="63">
        <f>+SUM(IIBB:OTROS!I30)</f>
        <v>95086.640507000004</v>
      </c>
      <c r="J30" s="63">
        <f>+SUM(IIBB:OTROS!J30)</f>
        <v>101175.32171600001</v>
      </c>
      <c r="K30" s="63">
        <f>+SUM(IIBB:OTROS!K30)</f>
        <v>99535.541584000006</v>
      </c>
      <c r="L30" s="63">
        <f>+SUM(IIBB:OTROS!L30)</f>
        <v>99884.006133999996</v>
      </c>
      <c r="M30" s="63">
        <f>+SUM(IIBB:OTROS!M30)</f>
        <v>104674.955453</v>
      </c>
      <c r="N30" s="63">
        <f>+SUM(IIBB:OTROS!N30)</f>
        <v>113442.590283</v>
      </c>
      <c r="O30" s="64">
        <f>SUM(C30:N30)</f>
        <v>1128800.9501359998</v>
      </c>
      <c r="P30" s="12"/>
      <c r="Q30" s="13"/>
    </row>
    <row r="31" spans="2:17" s="14" customFormat="1" ht="15.75" customHeight="1" x14ac:dyDescent="0.25">
      <c r="B31" s="58" t="s">
        <v>63</v>
      </c>
      <c r="C31" s="63">
        <f>+SUM(IIBB:OTROS!C31)</f>
        <v>24076.5756812</v>
      </c>
      <c r="D31" s="63">
        <f>+SUM(IIBB:OTROS!D31)</f>
        <v>22530.63944436</v>
      </c>
      <c r="E31" s="63">
        <f>+SUM(IIBB:OTROS!E31)</f>
        <v>21002.0318386</v>
      </c>
      <c r="F31" s="63">
        <f>+SUM(IIBB:OTROS!F31)</f>
        <v>22838.113599110002</v>
      </c>
      <c r="G31" s="63">
        <f>+SUM(IIBB:OTROS!G31)</f>
        <v>25538.644345599998</v>
      </c>
      <c r="H31" s="63">
        <f>+SUM(IIBB:OTROS!H31)</f>
        <v>24932.84504774</v>
      </c>
      <c r="I31" s="63">
        <f>+SUM(IIBB:OTROS!I31)</f>
        <v>26056.29857191</v>
      </c>
      <c r="J31" s="63">
        <f>+SUM(IIBB:OTROS!J31)</f>
        <v>27464.131237139998</v>
      </c>
      <c r="K31" s="63">
        <f>+SUM(IIBB:OTROS!K31)</f>
        <v>27623.193076129999</v>
      </c>
      <c r="L31" s="63">
        <f>+SUM(IIBB:OTROS!L31)</f>
        <v>27448.493076480001</v>
      </c>
      <c r="M31" s="63">
        <f>+SUM(IIBB:OTROS!M31)</f>
        <v>27641.668541320003</v>
      </c>
      <c r="N31" s="63">
        <f>+SUM(IIBB:OTROS!N31)</f>
        <v>28273.699999999997</v>
      </c>
      <c r="O31" s="64">
        <f t="shared" si="0"/>
        <v>305426.33445959003</v>
      </c>
      <c r="P31" s="12"/>
      <c r="Q31" s="13"/>
    </row>
    <row r="32" spans="2:17" ht="22.5" customHeight="1" x14ac:dyDescent="0.2">
      <c r="B32" s="65" t="s">
        <v>84</v>
      </c>
      <c r="C32" s="66">
        <f>SUM(C8:C31)</f>
        <v>3038376.1513144379</v>
      </c>
      <c r="D32" s="66">
        <f>SUM(D8:D31)</f>
        <v>3167811.9924623212</v>
      </c>
      <c r="E32" s="66">
        <f t="shared" ref="E32:M32" si="1">SUM(E8:E31)</f>
        <v>3088606.674037734</v>
      </c>
      <c r="F32" s="66">
        <f>SUM(F8:F31)</f>
        <v>3283378.1165055875</v>
      </c>
      <c r="G32" s="66">
        <f t="shared" si="1"/>
        <v>3480348.9465306825</v>
      </c>
      <c r="H32" s="66">
        <f t="shared" si="1"/>
        <v>3447836.6121307593</v>
      </c>
      <c r="I32" s="66">
        <f t="shared" si="1"/>
        <v>3577238.3633482326</v>
      </c>
      <c r="J32" s="66">
        <f t="shared" si="1"/>
        <v>3750622.112180681</v>
      </c>
      <c r="K32" s="66">
        <f t="shared" si="1"/>
        <v>3812085.4239571895</v>
      </c>
      <c r="L32" s="66">
        <f>SUM(L8:L31)</f>
        <v>3862459.5979414159</v>
      </c>
      <c r="M32" s="66">
        <f t="shared" si="1"/>
        <v>3864120.8415430184</v>
      </c>
      <c r="N32" s="66">
        <f>SUM(N8:N31)</f>
        <v>3993537.3000380783</v>
      </c>
      <c r="O32" s="66">
        <f>SUM(O8:O31)</f>
        <v>42366422.131990142</v>
      </c>
      <c r="P32" s="12"/>
    </row>
    <row r="33" spans="2:15" s="28" customFormat="1" ht="21.75" customHeight="1" x14ac:dyDescent="0.2">
      <c r="B33" s="83" t="s">
        <v>30</v>
      </c>
      <c r="C33" s="86"/>
      <c r="D33" s="86"/>
      <c r="E33" s="86"/>
    </row>
    <row r="34" spans="2:15" s="28" customFormat="1" ht="16.5" customHeight="1" x14ac:dyDescent="0.2">
      <c r="B34" s="84" t="s">
        <v>86</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31</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7"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pageSetUpPr fitToPage="1"/>
  </sheetPr>
  <dimension ref="A1:C34"/>
  <sheetViews>
    <sheetView showGridLines="0" zoomScale="85" zoomScaleNormal="85" workbookViewId="0">
      <selection activeCell="B34" sqref="B34"/>
    </sheetView>
  </sheetViews>
  <sheetFormatPr baseColWidth="10" defaultColWidth="11.42578125" defaultRowHeight="15" x14ac:dyDescent="0.25"/>
  <cols>
    <col min="1" max="1" width="1.28515625" style="54" customWidth="1"/>
    <col min="2" max="2" width="26.85546875" style="54" customWidth="1"/>
    <col min="3" max="3" width="124.28515625" style="54" customWidth="1"/>
    <col min="4" max="16384" width="11.42578125" style="54"/>
  </cols>
  <sheetData>
    <row r="1" spans="1:3" ht="104.25" customHeight="1" x14ac:dyDescent="0.25">
      <c r="B1" s="107" t="s">
        <v>68</v>
      </c>
      <c r="C1" s="107"/>
    </row>
    <row r="2" spans="1:3" s="55" customFormat="1" ht="45" customHeight="1" x14ac:dyDescent="0.25">
      <c r="B2" s="105" t="s">
        <v>69</v>
      </c>
      <c r="C2" s="106"/>
    </row>
    <row r="3" spans="1:3" s="55" customFormat="1" ht="45" customHeight="1" x14ac:dyDescent="0.25">
      <c r="B3" s="106"/>
      <c r="C3" s="106"/>
    </row>
    <row r="4" spans="1:3" s="55" customFormat="1" ht="45" customHeight="1" x14ac:dyDescent="0.25">
      <c r="B4" s="106"/>
      <c r="C4" s="106"/>
    </row>
    <row r="5" spans="1:3" x14ac:dyDescent="0.25">
      <c r="B5" s="56"/>
    </row>
    <row r="6" spans="1:3" ht="23.1" customHeight="1" x14ac:dyDescent="0.25">
      <c r="B6" s="88" t="s">
        <v>32</v>
      </c>
      <c r="C6" s="88" t="s">
        <v>70</v>
      </c>
    </row>
    <row r="7" spans="1:3" ht="9.9499999999999993" hidden="1" customHeight="1" x14ac:dyDescent="0.25">
      <c r="B7" s="89"/>
      <c r="C7" s="90"/>
    </row>
    <row r="8" spans="1:3" x14ac:dyDescent="0.25">
      <c r="A8" s="57"/>
      <c r="B8" s="91" t="s">
        <v>41</v>
      </c>
      <c r="C8" s="92" t="s">
        <v>20</v>
      </c>
    </row>
    <row r="9" spans="1:3" x14ac:dyDescent="0.25">
      <c r="B9" s="91" t="s">
        <v>42</v>
      </c>
      <c r="C9" s="93" t="s">
        <v>7</v>
      </c>
    </row>
    <row r="10" spans="1:3" x14ac:dyDescent="0.25">
      <c r="B10" s="91" t="s">
        <v>43</v>
      </c>
      <c r="C10" s="95" t="s">
        <v>90</v>
      </c>
    </row>
    <row r="11" spans="1:3" x14ac:dyDescent="0.25">
      <c r="B11" s="91" t="s">
        <v>44</v>
      </c>
      <c r="C11" s="93" t="s">
        <v>7</v>
      </c>
    </row>
    <row r="12" spans="1:3" x14ac:dyDescent="0.25">
      <c r="B12" s="91" t="s">
        <v>45</v>
      </c>
      <c r="C12" s="92" t="s">
        <v>16</v>
      </c>
    </row>
    <row r="13" spans="1:3" x14ac:dyDescent="0.25">
      <c r="B13" s="94" t="s">
        <v>46</v>
      </c>
      <c r="C13" s="93" t="s">
        <v>7</v>
      </c>
    </row>
    <row r="14" spans="1:3" x14ac:dyDescent="0.25">
      <c r="B14" s="91" t="s">
        <v>47</v>
      </c>
      <c r="C14" s="95" t="s">
        <v>21</v>
      </c>
    </row>
    <row r="15" spans="1:3" x14ac:dyDescent="0.25">
      <c r="B15" s="91" t="s">
        <v>48</v>
      </c>
      <c r="C15" s="92" t="s">
        <v>22</v>
      </c>
    </row>
    <row r="16" spans="1:3" x14ac:dyDescent="0.25">
      <c r="B16" s="91" t="s">
        <v>49</v>
      </c>
      <c r="C16" s="92" t="s">
        <v>17</v>
      </c>
    </row>
    <row r="17" spans="1:3" ht="30" x14ac:dyDescent="0.25">
      <c r="A17" s="57"/>
      <c r="B17" s="100" t="s">
        <v>50</v>
      </c>
      <c r="C17" s="99" t="s">
        <v>91</v>
      </c>
    </row>
    <row r="18" spans="1:3" x14ac:dyDescent="0.25">
      <c r="B18" s="91" t="s">
        <v>51</v>
      </c>
      <c r="C18" s="95" t="s">
        <v>18</v>
      </c>
    </row>
    <row r="19" spans="1:3" x14ac:dyDescent="0.25">
      <c r="B19" s="91" t="s">
        <v>52</v>
      </c>
      <c r="C19" s="92" t="s">
        <v>23</v>
      </c>
    </row>
    <row r="20" spans="1:3" x14ac:dyDescent="0.25">
      <c r="B20" s="91" t="s">
        <v>53</v>
      </c>
      <c r="C20" s="92" t="s">
        <v>24</v>
      </c>
    </row>
    <row r="21" spans="1:3" x14ac:dyDescent="0.25">
      <c r="B21" s="91" t="s">
        <v>54</v>
      </c>
      <c r="C21" s="92" t="s">
        <v>25</v>
      </c>
    </row>
    <row r="22" spans="1:3" x14ac:dyDescent="0.25">
      <c r="B22" s="91" t="s">
        <v>55</v>
      </c>
      <c r="C22" s="92" t="s">
        <v>26</v>
      </c>
    </row>
    <row r="23" spans="1:3" x14ac:dyDescent="0.25">
      <c r="B23" s="91" t="s">
        <v>56</v>
      </c>
      <c r="C23" s="92" t="s">
        <v>93</v>
      </c>
    </row>
    <row r="24" spans="1:3" x14ac:dyDescent="0.25">
      <c r="B24" s="91" t="s">
        <v>57</v>
      </c>
      <c r="C24" s="92" t="s">
        <v>27</v>
      </c>
    </row>
    <row r="25" spans="1:3" x14ac:dyDescent="0.25">
      <c r="B25" s="91" t="s">
        <v>58</v>
      </c>
      <c r="C25" s="92" t="s">
        <v>14</v>
      </c>
    </row>
    <row r="26" spans="1:3" x14ac:dyDescent="0.25">
      <c r="B26" s="91" t="s">
        <v>59</v>
      </c>
      <c r="C26" s="92" t="s">
        <v>28</v>
      </c>
    </row>
    <row r="27" spans="1:3" x14ac:dyDescent="0.25">
      <c r="B27" s="91" t="s">
        <v>60</v>
      </c>
      <c r="C27" s="92" t="s">
        <v>94</v>
      </c>
    </row>
    <row r="28" spans="1:3" x14ac:dyDescent="0.25">
      <c r="A28" s="57"/>
      <c r="B28" s="91" t="s">
        <v>61</v>
      </c>
      <c r="C28" s="93" t="s">
        <v>7</v>
      </c>
    </row>
    <row r="29" spans="1:3" x14ac:dyDescent="0.25">
      <c r="B29" s="91" t="s">
        <v>62</v>
      </c>
      <c r="C29" s="95" t="s">
        <v>19</v>
      </c>
    </row>
    <row r="30" spans="1:3" x14ac:dyDescent="0.25">
      <c r="B30" s="91" t="s">
        <v>63</v>
      </c>
      <c r="C30" s="92" t="s">
        <v>15</v>
      </c>
    </row>
    <row r="31" spans="1:3" x14ac:dyDescent="0.25">
      <c r="B31" s="91" t="s">
        <v>71</v>
      </c>
      <c r="C31" s="96" t="s">
        <v>29</v>
      </c>
    </row>
    <row r="32" spans="1:3" ht="6.95" customHeight="1" x14ac:dyDescent="0.25">
      <c r="B32" s="55"/>
    </row>
    <row r="33" spans="2:3" ht="6.95" customHeight="1" thickBot="1" x14ac:dyDescent="0.3">
      <c r="B33" s="50"/>
      <c r="C33" s="51"/>
    </row>
    <row r="34" spans="2:3" x14ac:dyDescent="0.25">
      <c r="B34" s="33" t="s">
        <v>31</v>
      </c>
      <c r="C34" s="52"/>
    </row>
  </sheetData>
  <mergeCells count="2">
    <mergeCell ref="B2:C4"/>
    <mergeCell ref="B1:C1"/>
  </mergeCells>
  <dataValidations count="1">
    <dataValidation type="custom" errorStyle="warning" allowBlank="1" showInputMessage="1" showErrorMessage="1" errorTitle="error" error="warning" sqref="C34:D34" xr:uid="{00000000-0002-0000-0600-000000000000}">
      <formula1>"&gt;10"</formula1>
    </dataValidation>
  </dataValidations>
  <hyperlinks>
    <hyperlink ref="C19" r:id="rId1" xr:uid="{00000000-0004-0000-0600-000000000000}"/>
    <hyperlink ref="C22" r:id="rId2" xr:uid="{00000000-0004-0000-0600-000001000000}"/>
    <hyperlink ref="C23" r:id="rId3" xr:uid="{00000000-0004-0000-0600-000002000000}"/>
    <hyperlink ref="C29" r:id="rId4" xr:uid="{00000000-0004-0000-0600-000003000000}"/>
    <hyperlink ref="C26" r:id="rId5" xr:uid="{00000000-0004-0000-0600-000004000000}"/>
    <hyperlink ref="C15" r:id="rId6" xr:uid="{00000000-0004-0000-0600-000005000000}"/>
    <hyperlink ref="C18" r:id="rId7" xr:uid="{00000000-0004-0000-0600-000007000000}"/>
    <hyperlink ref="C31" r:id="rId8" xr:uid="{00000000-0004-0000-0600-000008000000}"/>
    <hyperlink ref="C12" r:id="rId9" xr:uid="{00000000-0004-0000-0600-000009000000}"/>
    <hyperlink ref="C24" r:id="rId10" xr:uid="{00000000-0004-0000-0600-00000A000000}"/>
    <hyperlink ref="C8" r:id="rId11" xr:uid="{00000000-0004-0000-0600-00000B000000}"/>
    <hyperlink ref="C16" r:id="rId12" xr:uid="{00000000-0004-0000-0600-00000C000000}"/>
    <hyperlink ref="C20" r:id="rId13" xr:uid="{00000000-0004-0000-0600-00000D000000}"/>
    <hyperlink ref="C21" r:id="rId14" xr:uid="{00000000-0004-0000-0600-00000E000000}"/>
    <hyperlink ref="C25" r:id="rId15" xr:uid="{00000000-0004-0000-0600-00000F000000}"/>
    <hyperlink ref="C30" r:id="rId16" xr:uid="{00000000-0004-0000-0600-000010000000}"/>
    <hyperlink ref="C14" r:id="rId17" xr:uid="{00000000-0004-0000-0600-000011000000}"/>
    <hyperlink ref="C10" r:id="rId18" xr:uid="{00000000-0004-0000-0600-000012000000}"/>
    <hyperlink ref="C17" r:id="rId19" display="https://contaduriageneral.lapampa.gob.ar/ejecucion-presupuestaria/ano-2025/informe-de-recursos-mensual" xr:uid="{00000000-0004-0000-0600-000013000000}"/>
    <hyperlink ref="C27" r:id="rId20" xr:uid="{D0F57197-8EF5-4972-8C98-B3B072FFA3E3}"/>
  </hyperlinks>
  <printOptions horizontalCentered="1" verticalCentered="1"/>
  <pageMargins left="0.70866141732283472" right="0.70866141732283472" top="0.74803149606299213" bottom="0.74803149606299213" header="0.31496062992125984" footer="0.31496062992125984"/>
  <pageSetup paperSize="9" scale="89" orientation="landscape" r:id="rId21"/>
  <drawing r:id="rId2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N47"/>
  <sheetViews>
    <sheetView showGridLines="0" zoomScale="85" zoomScaleNormal="85" workbookViewId="0">
      <selection activeCell="L32" sqref="L32"/>
    </sheetView>
  </sheetViews>
  <sheetFormatPr baseColWidth="10" defaultRowHeight="15" x14ac:dyDescent="0.25"/>
  <cols>
    <col min="1" max="1" width="26.85546875" style="35" customWidth="1"/>
    <col min="2" max="2" width="20.5703125" style="35" customWidth="1"/>
    <col min="3" max="3" width="20" style="35" customWidth="1"/>
    <col min="4" max="4" width="20.140625" style="35" customWidth="1"/>
    <col min="5" max="6" width="22.140625" style="35" customWidth="1"/>
    <col min="7" max="7" width="17" style="35" hidden="1" customWidth="1"/>
    <col min="8" max="256" width="11.42578125" style="35"/>
    <col min="257" max="257" width="33.28515625" style="35" customWidth="1"/>
    <col min="258" max="258" width="20.5703125" style="35" customWidth="1"/>
    <col min="259" max="259" width="20" style="35" customWidth="1"/>
    <col min="260" max="260" width="20.140625" style="35" customWidth="1"/>
    <col min="261" max="261" width="22.140625" style="35" customWidth="1"/>
    <col min="262" max="262" width="28" style="35" customWidth="1"/>
    <col min="263" max="263" width="0" style="35" hidden="1" customWidth="1"/>
    <col min="264" max="512" width="11.42578125" style="35"/>
    <col min="513" max="513" width="33.28515625" style="35" customWidth="1"/>
    <col min="514" max="514" width="20.5703125" style="35" customWidth="1"/>
    <col min="515" max="515" width="20" style="35" customWidth="1"/>
    <col min="516" max="516" width="20.140625" style="35" customWidth="1"/>
    <col min="517" max="517" width="22.140625" style="35" customWidth="1"/>
    <col min="518" max="518" width="28" style="35" customWidth="1"/>
    <col min="519" max="519" width="0" style="35" hidden="1" customWidth="1"/>
    <col min="520" max="768" width="11.42578125" style="35"/>
    <col min="769" max="769" width="33.28515625" style="35" customWidth="1"/>
    <col min="770" max="770" width="20.5703125" style="35" customWidth="1"/>
    <col min="771" max="771" width="20" style="35" customWidth="1"/>
    <col min="772" max="772" width="20.140625" style="35" customWidth="1"/>
    <col min="773" max="773" width="22.140625" style="35" customWidth="1"/>
    <col min="774" max="774" width="28" style="35" customWidth="1"/>
    <col min="775" max="775" width="0" style="35" hidden="1" customWidth="1"/>
    <col min="776" max="1024" width="11.42578125" style="35"/>
    <col min="1025" max="1025" width="33.28515625" style="35" customWidth="1"/>
    <col min="1026" max="1026" width="20.5703125" style="35" customWidth="1"/>
    <col min="1027" max="1027" width="20" style="35" customWidth="1"/>
    <col min="1028" max="1028" width="20.140625" style="35" customWidth="1"/>
    <col min="1029" max="1029" width="22.140625" style="35" customWidth="1"/>
    <col min="1030" max="1030" width="28" style="35" customWidth="1"/>
    <col min="1031" max="1031" width="0" style="35" hidden="1" customWidth="1"/>
    <col min="1032" max="1280" width="11.42578125" style="35"/>
    <col min="1281" max="1281" width="33.28515625" style="35" customWidth="1"/>
    <col min="1282" max="1282" width="20.5703125" style="35" customWidth="1"/>
    <col min="1283" max="1283" width="20" style="35" customWidth="1"/>
    <col min="1284" max="1284" width="20.140625" style="35" customWidth="1"/>
    <col min="1285" max="1285" width="22.140625" style="35" customWidth="1"/>
    <col min="1286" max="1286" width="28" style="35" customWidth="1"/>
    <col min="1287" max="1287" width="0" style="35" hidden="1" customWidth="1"/>
    <col min="1288" max="1536" width="11.42578125" style="35"/>
    <col min="1537" max="1537" width="33.28515625" style="35" customWidth="1"/>
    <col min="1538" max="1538" width="20.5703125" style="35" customWidth="1"/>
    <col min="1539" max="1539" width="20" style="35" customWidth="1"/>
    <col min="1540" max="1540" width="20.140625" style="35" customWidth="1"/>
    <col min="1541" max="1541" width="22.140625" style="35" customWidth="1"/>
    <col min="1542" max="1542" width="28" style="35" customWidth="1"/>
    <col min="1543" max="1543" width="0" style="35" hidden="1" customWidth="1"/>
    <col min="1544" max="1792" width="11.42578125" style="35"/>
    <col min="1793" max="1793" width="33.28515625" style="35" customWidth="1"/>
    <col min="1794" max="1794" width="20.5703125" style="35" customWidth="1"/>
    <col min="1795" max="1795" width="20" style="35" customWidth="1"/>
    <col min="1796" max="1796" width="20.140625" style="35" customWidth="1"/>
    <col min="1797" max="1797" width="22.140625" style="35" customWidth="1"/>
    <col min="1798" max="1798" width="28" style="35" customWidth="1"/>
    <col min="1799" max="1799" width="0" style="35" hidden="1" customWidth="1"/>
    <col min="1800" max="2048" width="11.42578125" style="35"/>
    <col min="2049" max="2049" width="33.28515625" style="35" customWidth="1"/>
    <col min="2050" max="2050" width="20.5703125" style="35" customWidth="1"/>
    <col min="2051" max="2051" width="20" style="35" customWidth="1"/>
    <col min="2052" max="2052" width="20.140625" style="35" customWidth="1"/>
    <col min="2053" max="2053" width="22.140625" style="35" customWidth="1"/>
    <col min="2054" max="2054" width="28" style="35" customWidth="1"/>
    <col min="2055" max="2055" width="0" style="35" hidden="1" customWidth="1"/>
    <col min="2056" max="2304" width="11.42578125" style="35"/>
    <col min="2305" max="2305" width="33.28515625" style="35" customWidth="1"/>
    <col min="2306" max="2306" width="20.5703125" style="35" customWidth="1"/>
    <col min="2307" max="2307" width="20" style="35" customWidth="1"/>
    <col min="2308" max="2308" width="20.140625" style="35" customWidth="1"/>
    <col min="2309" max="2309" width="22.140625" style="35" customWidth="1"/>
    <col min="2310" max="2310" width="28" style="35" customWidth="1"/>
    <col min="2311" max="2311" width="0" style="35" hidden="1" customWidth="1"/>
    <col min="2312" max="2560" width="11.42578125" style="35"/>
    <col min="2561" max="2561" width="33.28515625" style="35" customWidth="1"/>
    <col min="2562" max="2562" width="20.5703125" style="35" customWidth="1"/>
    <col min="2563" max="2563" width="20" style="35" customWidth="1"/>
    <col min="2564" max="2564" width="20.140625" style="35" customWidth="1"/>
    <col min="2565" max="2565" width="22.140625" style="35" customWidth="1"/>
    <col min="2566" max="2566" width="28" style="35" customWidth="1"/>
    <col min="2567" max="2567" width="0" style="35" hidden="1" customWidth="1"/>
    <col min="2568" max="2816" width="11.42578125" style="35"/>
    <col min="2817" max="2817" width="33.28515625" style="35" customWidth="1"/>
    <col min="2818" max="2818" width="20.5703125" style="35" customWidth="1"/>
    <col min="2819" max="2819" width="20" style="35" customWidth="1"/>
    <col min="2820" max="2820" width="20.140625" style="35" customWidth="1"/>
    <col min="2821" max="2821" width="22.140625" style="35" customWidth="1"/>
    <col min="2822" max="2822" width="28" style="35" customWidth="1"/>
    <col min="2823" max="2823" width="0" style="35" hidden="1" customWidth="1"/>
    <col min="2824" max="3072" width="11.42578125" style="35"/>
    <col min="3073" max="3073" width="33.28515625" style="35" customWidth="1"/>
    <col min="3074" max="3074" width="20.5703125" style="35" customWidth="1"/>
    <col min="3075" max="3075" width="20" style="35" customWidth="1"/>
    <col min="3076" max="3076" width="20.140625" style="35" customWidth="1"/>
    <col min="3077" max="3077" width="22.140625" style="35" customWidth="1"/>
    <col min="3078" max="3078" width="28" style="35" customWidth="1"/>
    <col min="3079" max="3079" width="0" style="35" hidden="1" customWidth="1"/>
    <col min="3080" max="3328" width="11.42578125" style="35"/>
    <col min="3329" max="3329" width="33.28515625" style="35" customWidth="1"/>
    <col min="3330" max="3330" width="20.5703125" style="35" customWidth="1"/>
    <col min="3331" max="3331" width="20" style="35" customWidth="1"/>
    <col min="3332" max="3332" width="20.140625" style="35" customWidth="1"/>
    <col min="3333" max="3333" width="22.140625" style="35" customWidth="1"/>
    <col min="3334" max="3334" width="28" style="35" customWidth="1"/>
    <col min="3335" max="3335" width="0" style="35" hidden="1" customWidth="1"/>
    <col min="3336" max="3584" width="11.42578125" style="35"/>
    <col min="3585" max="3585" width="33.28515625" style="35" customWidth="1"/>
    <col min="3586" max="3586" width="20.5703125" style="35" customWidth="1"/>
    <col min="3587" max="3587" width="20" style="35" customWidth="1"/>
    <col min="3588" max="3588" width="20.140625" style="35" customWidth="1"/>
    <col min="3589" max="3589" width="22.140625" style="35" customWidth="1"/>
    <col min="3590" max="3590" width="28" style="35" customWidth="1"/>
    <col min="3591" max="3591" width="0" style="35" hidden="1" customWidth="1"/>
    <col min="3592" max="3840" width="11.42578125" style="35"/>
    <col min="3841" max="3841" width="33.28515625" style="35" customWidth="1"/>
    <col min="3842" max="3842" width="20.5703125" style="35" customWidth="1"/>
    <col min="3843" max="3843" width="20" style="35" customWidth="1"/>
    <col min="3844" max="3844" width="20.140625" style="35" customWidth="1"/>
    <col min="3845" max="3845" width="22.140625" style="35" customWidth="1"/>
    <col min="3846" max="3846" width="28" style="35" customWidth="1"/>
    <col min="3847" max="3847" width="0" style="35" hidden="1" customWidth="1"/>
    <col min="3848" max="4096" width="11.42578125" style="35"/>
    <col min="4097" max="4097" width="33.28515625" style="35" customWidth="1"/>
    <col min="4098" max="4098" width="20.5703125" style="35" customWidth="1"/>
    <col min="4099" max="4099" width="20" style="35" customWidth="1"/>
    <col min="4100" max="4100" width="20.140625" style="35" customWidth="1"/>
    <col min="4101" max="4101" width="22.140625" style="35" customWidth="1"/>
    <col min="4102" max="4102" width="28" style="35" customWidth="1"/>
    <col min="4103" max="4103" width="0" style="35" hidden="1" customWidth="1"/>
    <col min="4104" max="4352" width="11.42578125" style="35"/>
    <col min="4353" max="4353" width="33.28515625" style="35" customWidth="1"/>
    <col min="4354" max="4354" width="20.5703125" style="35" customWidth="1"/>
    <col min="4355" max="4355" width="20" style="35" customWidth="1"/>
    <col min="4356" max="4356" width="20.140625" style="35" customWidth="1"/>
    <col min="4357" max="4357" width="22.140625" style="35" customWidth="1"/>
    <col min="4358" max="4358" width="28" style="35" customWidth="1"/>
    <col min="4359" max="4359" width="0" style="35" hidden="1" customWidth="1"/>
    <col min="4360" max="4608" width="11.42578125" style="35"/>
    <col min="4609" max="4609" width="33.28515625" style="35" customWidth="1"/>
    <col min="4610" max="4610" width="20.5703125" style="35" customWidth="1"/>
    <col min="4611" max="4611" width="20" style="35" customWidth="1"/>
    <col min="4612" max="4612" width="20.140625" style="35" customWidth="1"/>
    <col min="4613" max="4613" width="22.140625" style="35" customWidth="1"/>
    <col min="4614" max="4614" width="28" style="35" customWidth="1"/>
    <col min="4615" max="4615" width="0" style="35" hidden="1" customWidth="1"/>
    <col min="4616" max="4864" width="11.42578125" style="35"/>
    <col min="4865" max="4865" width="33.28515625" style="35" customWidth="1"/>
    <col min="4866" max="4866" width="20.5703125" style="35" customWidth="1"/>
    <col min="4867" max="4867" width="20" style="35" customWidth="1"/>
    <col min="4868" max="4868" width="20.140625" style="35" customWidth="1"/>
    <col min="4869" max="4869" width="22.140625" style="35" customWidth="1"/>
    <col min="4870" max="4870" width="28" style="35" customWidth="1"/>
    <col min="4871" max="4871" width="0" style="35" hidden="1" customWidth="1"/>
    <col min="4872" max="5120" width="11.42578125" style="35"/>
    <col min="5121" max="5121" width="33.28515625" style="35" customWidth="1"/>
    <col min="5122" max="5122" width="20.5703125" style="35" customWidth="1"/>
    <col min="5123" max="5123" width="20" style="35" customWidth="1"/>
    <col min="5124" max="5124" width="20.140625" style="35" customWidth="1"/>
    <col min="5125" max="5125" width="22.140625" style="35" customWidth="1"/>
    <col min="5126" max="5126" width="28" style="35" customWidth="1"/>
    <col min="5127" max="5127" width="0" style="35" hidden="1" customWidth="1"/>
    <col min="5128" max="5376" width="11.42578125" style="35"/>
    <col min="5377" max="5377" width="33.28515625" style="35" customWidth="1"/>
    <col min="5378" max="5378" width="20.5703125" style="35" customWidth="1"/>
    <col min="5379" max="5379" width="20" style="35" customWidth="1"/>
    <col min="5380" max="5380" width="20.140625" style="35" customWidth="1"/>
    <col min="5381" max="5381" width="22.140625" style="35" customWidth="1"/>
    <col min="5382" max="5382" width="28" style="35" customWidth="1"/>
    <col min="5383" max="5383" width="0" style="35" hidden="1" customWidth="1"/>
    <col min="5384" max="5632" width="11.42578125" style="35"/>
    <col min="5633" max="5633" width="33.28515625" style="35" customWidth="1"/>
    <col min="5634" max="5634" width="20.5703125" style="35" customWidth="1"/>
    <col min="5635" max="5635" width="20" style="35" customWidth="1"/>
    <col min="5636" max="5636" width="20.140625" style="35" customWidth="1"/>
    <col min="5637" max="5637" width="22.140625" style="35" customWidth="1"/>
    <col min="5638" max="5638" width="28" style="35" customWidth="1"/>
    <col min="5639" max="5639" width="0" style="35" hidden="1" customWidth="1"/>
    <col min="5640" max="5888" width="11.42578125" style="35"/>
    <col min="5889" max="5889" width="33.28515625" style="35" customWidth="1"/>
    <col min="5890" max="5890" width="20.5703125" style="35" customWidth="1"/>
    <col min="5891" max="5891" width="20" style="35" customWidth="1"/>
    <col min="5892" max="5892" width="20.140625" style="35" customWidth="1"/>
    <col min="5893" max="5893" width="22.140625" style="35" customWidth="1"/>
    <col min="5894" max="5894" width="28" style="35" customWidth="1"/>
    <col min="5895" max="5895" width="0" style="35" hidden="1" customWidth="1"/>
    <col min="5896" max="6144" width="11.42578125" style="35"/>
    <col min="6145" max="6145" width="33.28515625" style="35" customWidth="1"/>
    <col min="6146" max="6146" width="20.5703125" style="35" customWidth="1"/>
    <col min="6147" max="6147" width="20" style="35" customWidth="1"/>
    <col min="6148" max="6148" width="20.140625" style="35" customWidth="1"/>
    <col min="6149" max="6149" width="22.140625" style="35" customWidth="1"/>
    <col min="6150" max="6150" width="28" style="35" customWidth="1"/>
    <col min="6151" max="6151" width="0" style="35" hidden="1" customWidth="1"/>
    <col min="6152" max="6400" width="11.42578125" style="35"/>
    <col min="6401" max="6401" width="33.28515625" style="35" customWidth="1"/>
    <col min="6402" max="6402" width="20.5703125" style="35" customWidth="1"/>
    <col min="6403" max="6403" width="20" style="35" customWidth="1"/>
    <col min="6404" max="6404" width="20.140625" style="35" customWidth="1"/>
    <col min="6405" max="6405" width="22.140625" style="35" customWidth="1"/>
    <col min="6406" max="6406" width="28" style="35" customWidth="1"/>
    <col min="6407" max="6407" width="0" style="35" hidden="1" customWidth="1"/>
    <col min="6408" max="6656" width="11.42578125" style="35"/>
    <col min="6657" max="6657" width="33.28515625" style="35" customWidth="1"/>
    <col min="6658" max="6658" width="20.5703125" style="35" customWidth="1"/>
    <col min="6659" max="6659" width="20" style="35" customWidth="1"/>
    <col min="6660" max="6660" width="20.140625" style="35" customWidth="1"/>
    <col min="6661" max="6661" width="22.140625" style="35" customWidth="1"/>
    <col min="6662" max="6662" width="28" style="35" customWidth="1"/>
    <col min="6663" max="6663" width="0" style="35" hidden="1" customWidth="1"/>
    <col min="6664" max="6912" width="11.42578125" style="35"/>
    <col min="6913" max="6913" width="33.28515625" style="35" customWidth="1"/>
    <col min="6914" max="6914" width="20.5703125" style="35" customWidth="1"/>
    <col min="6915" max="6915" width="20" style="35" customWidth="1"/>
    <col min="6916" max="6916" width="20.140625" style="35" customWidth="1"/>
    <col min="6917" max="6917" width="22.140625" style="35" customWidth="1"/>
    <col min="6918" max="6918" width="28" style="35" customWidth="1"/>
    <col min="6919" max="6919" width="0" style="35" hidden="1" customWidth="1"/>
    <col min="6920" max="7168" width="11.42578125" style="35"/>
    <col min="7169" max="7169" width="33.28515625" style="35" customWidth="1"/>
    <col min="7170" max="7170" width="20.5703125" style="35" customWidth="1"/>
    <col min="7171" max="7171" width="20" style="35" customWidth="1"/>
    <col min="7172" max="7172" width="20.140625" style="35" customWidth="1"/>
    <col min="7173" max="7173" width="22.140625" style="35" customWidth="1"/>
    <col min="7174" max="7174" width="28" style="35" customWidth="1"/>
    <col min="7175" max="7175" width="0" style="35" hidden="1" customWidth="1"/>
    <col min="7176" max="7424" width="11.42578125" style="35"/>
    <col min="7425" max="7425" width="33.28515625" style="35" customWidth="1"/>
    <col min="7426" max="7426" width="20.5703125" style="35" customWidth="1"/>
    <col min="7427" max="7427" width="20" style="35" customWidth="1"/>
    <col min="7428" max="7428" width="20.140625" style="35" customWidth="1"/>
    <col min="7429" max="7429" width="22.140625" style="35" customWidth="1"/>
    <col min="7430" max="7430" width="28" style="35" customWidth="1"/>
    <col min="7431" max="7431" width="0" style="35" hidden="1" customWidth="1"/>
    <col min="7432" max="7680" width="11.42578125" style="35"/>
    <col min="7681" max="7681" width="33.28515625" style="35" customWidth="1"/>
    <col min="7682" max="7682" width="20.5703125" style="35" customWidth="1"/>
    <col min="7683" max="7683" width="20" style="35" customWidth="1"/>
    <col min="7684" max="7684" width="20.140625" style="35" customWidth="1"/>
    <col min="7685" max="7685" width="22.140625" style="35" customWidth="1"/>
    <col min="7686" max="7686" width="28" style="35" customWidth="1"/>
    <col min="7687" max="7687" width="0" style="35" hidden="1" customWidth="1"/>
    <col min="7688" max="7936" width="11.42578125" style="35"/>
    <col min="7937" max="7937" width="33.28515625" style="35" customWidth="1"/>
    <col min="7938" max="7938" width="20.5703125" style="35" customWidth="1"/>
    <col min="7939" max="7939" width="20" style="35" customWidth="1"/>
    <col min="7940" max="7940" width="20.140625" style="35" customWidth="1"/>
    <col min="7941" max="7941" width="22.140625" style="35" customWidth="1"/>
    <col min="7942" max="7942" width="28" style="35" customWidth="1"/>
    <col min="7943" max="7943" width="0" style="35" hidden="1" customWidth="1"/>
    <col min="7944" max="8192" width="11.42578125" style="35"/>
    <col min="8193" max="8193" width="33.28515625" style="35" customWidth="1"/>
    <col min="8194" max="8194" width="20.5703125" style="35" customWidth="1"/>
    <col min="8195" max="8195" width="20" style="35" customWidth="1"/>
    <col min="8196" max="8196" width="20.140625" style="35" customWidth="1"/>
    <col min="8197" max="8197" width="22.140625" style="35" customWidth="1"/>
    <col min="8198" max="8198" width="28" style="35" customWidth="1"/>
    <col min="8199" max="8199" width="0" style="35" hidden="1" customWidth="1"/>
    <col min="8200" max="8448" width="11.42578125" style="35"/>
    <col min="8449" max="8449" width="33.28515625" style="35" customWidth="1"/>
    <col min="8450" max="8450" width="20.5703125" style="35" customWidth="1"/>
    <col min="8451" max="8451" width="20" style="35" customWidth="1"/>
    <col min="8452" max="8452" width="20.140625" style="35" customWidth="1"/>
    <col min="8453" max="8453" width="22.140625" style="35" customWidth="1"/>
    <col min="8454" max="8454" width="28" style="35" customWidth="1"/>
    <col min="8455" max="8455" width="0" style="35" hidden="1" customWidth="1"/>
    <col min="8456" max="8704" width="11.42578125" style="35"/>
    <col min="8705" max="8705" width="33.28515625" style="35" customWidth="1"/>
    <col min="8706" max="8706" width="20.5703125" style="35" customWidth="1"/>
    <col min="8707" max="8707" width="20" style="35" customWidth="1"/>
    <col min="8708" max="8708" width="20.140625" style="35" customWidth="1"/>
    <col min="8709" max="8709" width="22.140625" style="35" customWidth="1"/>
    <col min="8710" max="8710" width="28" style="35" customWidth="1"/>
    <col min="8711" max="8711" width="0" style="35" hidden="1" customWidth="1"/>
    <col min="8712" max="8960" width="11.42578125" style="35"/>
    <col min="8961" max="8961" width="33.28515625" style="35" customWidth="1"/>
    <col min="8962" max="8962" width="20.5703125" style="35" customWidth="1"/>
    <col min="8963" max="8963" width="20" style="35" customWidth="1"/>
    <col min="8964" max="8964" width="20.140625" style="35" customWidth="1"/>
    <col min="8965" max="8965" width="22.140625" style="35" customWidth="1"/>
    <col min="8966" max="8966" width="28" style="35" customWidth="1"/>
    <col min="8967" max="8967" width="0" style="35" hidden="1" customWidth="1"/>
    <col min="8968" max="9216" width="11.42578125" style="35"/>
    <col min="9217" max="9217" width="33.28515625" style="35" customWidth="1"/>
    <col min="9218" max="9218" width="20.5703125" style="35" customWidth="1"/>
    <col min="9219" max="9219" width="20" style="35" customWidth="1"/>
    <col min="9220" max="9220" width="20.140625" style="35" customWidth="1"/>
    <col min="9221" max="9221" width="22.140625" style="35" customWidth="1"/>
    <col min="9222" max="9222" width="28" style="35" customWidth="1"/>
    <col min="9223" max="9223" width="0" style="35" hidden="1" customWidth="1"/>
    <col min="9224" max="9472" width="11.42578125" style="35"/>
    <col min="9473" max="9473" width="33.28515625" style="35" customWidth="1"/>
    <col min="9474" max="9474" width="20.5703125" style="35" customWidth="1"/>
    <col min="9475" max="9475" width="20" style="35" customWidth="1"/>
    <col min="9476" max="9476" width="20.140625" style="35" customWidth="1"/>
    <col min="9477" max="9477" width="22.140625" style="35" customWidth="1"/>
    <col min="9478" max="9478" width="28" style="35" customWidth="1"/>
    <col min="9479" max="9479" width="0" style="35" hidden="1" customWidth="1"/>
    <col min="9480" max="9728" width="11.42578125" style="35"/>
    <col min="9729" max="9729" width="33.28515625" style="35" customWidth="1"/>
    <col min="9730" max="9730" width="20.5703125" style="35" customWidth="1"/>
    <col min="9731" max="9731" width="20" style="35" customWidth="1"/>
    <col min="9732" max="9732" width="20.140625" style="35" customWidth="1"/>
    <col min="9733" max="9733" width="22.140625" style="35" customWidth="1"/>
    <col min="9734" max="9734" width="28" style="35" customWidth="1"/>
    <col min="9735" max="9735" width="0" style="35" hidden="1" customWidth="1"/>
    <col min="9736" max="9984" width="11.42578125" style="35"/>
    <col min="9985" max="9985" width="33.28515625" style="35" customWidth="1"/>
    <col min="9986" max="9986" width="20.5703125" style="35" customWidth="1"/>
    <col min="9987" max="9987" width="20" style="35" customWidth="1"/>
    <col min="9988" max="9988" width="20.140625" style="35" customWidth="1"/>
    <col min="9989" max="9989" width="22.140625" style="35" customWidth="1"/>
    <col min="9990" max="9990" width="28" style="35" customWidth="1"/>
    <col min="9991" max="9991" width="0" style="35" hidden="1" customWidth="1"/>
    <col min="9992" max="10240" width="11.42578125" style="35"/>
    <col min="10241" max="10241" width="33.28515625" style="35" customWidth="1"/>
    <col min="10242" max="10242" width="20.5703125" style="35" customWidth="1"/>
    <col min="10243" max="10243" width="20" style="35" customWidth="1"/>
    <col min="10244" max="10244" width="20.140625" style="35" customWidth="1"/>
    <col min="10245" max="10245" width="22.140625" style="35" customWidth="1"/>
    <col min="10246" max="10246" width="28" style="35" customWidth="1"/>
    <col min="10247" max="10247" width="0" style="35" hidden="1" customWidth="1"/>
    <col min="10248" max="10496" width="11.42578125" style="35"/>
    <col min="10497" max="10497" width="33.28515625" style="35" customWidth="1"/>
    <col min="10498" max="10498" width="20.5703125" style="35" customWidth="1"/>
    <col min="10499" max="10499" width="20" style="35" customWidth="1"/>
    <col min="10500" max="10500" width="20.140625" style="35" customWidth="1"/>
    <col min="10501" max="10501" width="22.140625" style="35" customWidth="1"/>
    <col min="10502" max="10502" width="28" style="35" customWidth="1"/>
    <col min="10503" max="10503" width="0" style="35" hidden="1" customWidth="1"/>
    <col min="10504" max="10752" width="11.42578125" style="35"/>
    <col min="10753" max="10753" width="33.28515625" style="35" customWidth="1"/>
    <col min="10754" max="10754" width="20.5703125" style="35" customWidth="1"/>
    <col min="10755" max="10755" width="20" style="35" customWidth="1"/>
    <col min="10756" max="10756" width="20.140625" style="35" customWidth="1"/>
    <col min="10757" max="10757" width="22.140625" style="35" customWidth="1"/>
    <col min="10758" max="10758" width="28" style="35" customWidth="1"/>
    <col min="10759" max="10759" width="0" style="35" hidden="1" customWidth="1"/>
    <col min="10760" max="11008" width="11.42578125" style="35"/>
    <col min="11009" max="11009" width="33.28515625" style="35" customWidth="1"/>
    <col min="11010" max="11010" width="20.5703125" style="35" customWidth="1"/>
    <col min="11011" max="11011" width="20" style="35" customWidth="1"/>
    <col min="11012" max="11012" width="20.140625" style="35" customWidth="1"/>
    <col min="11013" max="11013" width="22.140625" style="35" customWidth="1"/>
    <col min="11014" max="11014" width="28" style="35" customWidth="1"/>
    <col min="11015" max="11015" width="0" style="35" hidden="1" customWidth="1"/>
    <col min="11016" max="11264" width="11.42578125" style="35"/>
    <col min="11265" max="11265" width="33.28515625" style="35" customWidth="1"/>
    <col min="11266" max="11266" width="20.5703125" style="35" customWidth="1"/>
    <col min="11267" max="11267" width="20" style="35" customWidth="1"/>
    <col min="11268" max="11268" width="20.140625" style="35" customWidth="1"/>
    <col min="11269" max="11269" width="22.140625" style="35" customWidth="1"/>
    <col min="11270" max="11270" width="28" style="35" customWidth="1"/>
    <col min="11271" max="11271" width="0" style="35" hidden="1" customWidth="1"/>
    <col min="11272" max="11520" width="11.42578125" style="35"/>
    <col min="11521" max="11521" width="33.28515625" style="35" customWidth="1"/>
    <col min="11522" max="11522" width="20.5703125" style="35" customWidth="1"/>
    <col min="11523" max="11523" width="20" style="35" customWidth="1"/>
    <col min="11524" max="11524" width="20.140625" style="35" customWidth="1"/>
    <col min="11525" max="11525" width="22.140625" style="35" customWidth="1"/>
    <col min="11526" max="11526" width="28" style="35" customWidth="1"/>
    <col min="11527" max="11527" width="0" style="35" hidden="1" customWidth="1"/>
    <col min="11528" max="11776" width="11.42578125" style="35"/>
    <col min="11777" max="11777" width="33.28515625" style="35" customWidth="1"/>
    <col min="11778" max="11778" width="20.5703125" style="35" customWidth="1"/>
    <col min="11779" max="11779" width="20" style="35" customWidth="1"/>
    <col min="11780" max="11780" width="20.140625" style="35" customWidth="1"/>
    <col min="11781" max="11781" width="22.140625" style="35" customWidth="1"/>
    <col min="11782" max="11782" width="28" style="35" customWidth="1"/>
    <col min="11783" max="11783" width="0" style="35" hidden="1" customWidth="1"/>
    <col min="11784" max="12032" width="11.42578125" style="35"/>
    <col min="12033" max="12033" width="33.28515625" style="35" customWidth="1"/>
    <col min="12034" max="12034" width="20.5703125" style="35" customWidth="1"/>
    <col min="12035" max="12035" width="20" style="35" customWidth="1"/>
    <col min="12036" max="12036" width="20.140625" style="35" customWidth="1"/>
    <col min="12037" max="12037" width="22.140625" style="35" customWidth="1"/>
    <col min="12038" max="12038" width="28" style="35" customWidth="1"/>
    <col min="12039" max="12039" width="0" style="35" hidden="1" customWidth="1"/>
    <col min="12040" max="12288" width="11.42578125" style="35"/>
    <col min="12289" max="12289" width="33.28515625" style="35" customWidth="1"/>
    <col min="12290" max="12290" width="20.5703125" style="35" customWidth="1"/>
    <col min="12291" max="12291" width="20" style="35" customWidth="1"/>
    <col min="12292" max="12292" width="20.140625" style="35" customWidth="1"/>
    <col min="12293" max="12293" width="22.140625" style="35" customWidth="1"/>
    <col min="12294" max="12294" width="28" style="35" customWidth="1"/>
    <col min="12295" max="12295" width="0" style="35" hidden="1" customWidth="1"/>
    <col min="12296" max="12544" width="11.42578125" style="35"/>
    <col min="12545" max="12545" width="33.28515625" style="35" customWidth="1"/>
    <col min="12546" max="12546" width="20.5703125" style="35" customWidth="1"/>
    <col min="12547" max="12547" width="20" style="35" customWidth="1"/>
    <col min="12548" max="12548" width="20.140625" style="35" customWidth="1"/>
    <col min="12549" max="12549" width="22.140625" style="35" customWidth="1"/>
    <col min="12550" max="12550" width="28" style="35" customWidth="1"/>
    <col min="12551" max="12551" width="0" style="35" hidden="1" customWidth="1"/>
    <col min="12552" max="12800" width="11.42578125" style="35"/>
    <col min="12801" max="12801" width="33.28515625" style="35" customWidth="1"/>
    <col min="12802" max="12802" width="20.5703125" style="35" customWidth="1"/>
    <col min="12803" max="12803" width="20" style="35" customWidth="1"/>
    <col min="12804" max="12804" width="20.140625" style="35" customWidth="1"/>
    <col min="12805" max="12805" width="22.140625" style="35" customWidth="1"/>
    <col min="12806" max="12806" width="28" style="35" customWidth="1"/>
    <col min="12807" max="12807" width="0" style="35" hidden="1" customWidth="1"/>
    <col min="12808" max="13056" width="11.42578125" style="35"/>
    <col min="13057" max="13057" width="33.28515625" style="35" customWidth="1"/>
    <col min="13058" max="13058" width="20.5703125" style="35" customWidth="1"/>
    <col min="13059" max="13059" width="20" style="35" customWidth="1"/>
    <col min="13060" max="13060" width="20.140625" style="35" customWidth="1"/>
    <col min="13061" max="13061" width="22.140625" style="35" customWidth="1"/>
    <col min="13062" max="13062" width="28" style="35" customWidth="1"/>
    <col min="13063" max="13063" width="0" style="35" hidden="1" customWidth="1"/>
    <col min="13064" max="13312" width="11.42578125" style="35"/>
    <col min="13313" max="13313" width="33.28515625" style="35" customWidth="1"/>
    <col min="13314" max="13314" width="20.5703125" style="35" customWidth="1"/>
    <col min="13315" max="13315" width="20" style="35" customWidth="1"/>
    <col min="13316" max="13316" width="20.140625" style="35" customWidth="1"/>
    <col min="13317" max="13317" width="22.140625" style="35" customWidth="1"/>
    <col min="13318" max="13318" width="28" style="35" customWidth="1"/>
    <col min="13319" max="13319" width="0" style="35" hidden="1" customWidth="1"/>
    <col min="13320" max="13568" width="11.42578125" style="35"/>
    <col min="13569" max="13569" width="33.28515625" style="35" customWidth="1"/>
    <col min="13570" max="13570" width="20.5703125" style="35" customWidth="1"/>
    <col min="13571" max="13571" width="20" style="35" customWidth="1"/>
    <col min="13572" max="13572" width="20.140625" style="35" customWidth="1"/>
    <col min="13573" max="13573" width="22.140625" style="35" customWidth="1"/>
    <col min="13574" max="13574" width="28" style="35" customWidth="1"/>
    <col min="13575" max="13575" width="0" style="35" hidden="1" customWidth="1"/>
    <col min="13576" max="13824" width="11.42578125" style="35"/>
    <col min="13825" max="13825" width="33.28515625" style="35" customWidth="1"/>
    <col min="13826" max="13826" width="20.5703125" style="35" customWidth="1"/>
    <col min="13827" max="13827" width="20" style="35" customWidth="1"/>
    <col min="13828" max="13828" width="20.140625" style="35" customWidth="1"/>
    <col min="13829" max="13829" width="22.140625" style="35" customWidth="1"/>
    <col min="13830" max="13830" width="28" style="35" customWidth="1"/>
    <col min="13831" max="13831" width="0" style="35" hidden="1" customWidth="1"/>
    <col min="13832" max="14080" width="11.42578125" style="35"/>
    <col min="14081" max="14081" width="33.28515625" style="35" customWidth="1"/>
    <col min="14082" max="14082" width="20.5703125" style="35" customWidth="1"/>
    <col min="14083" max="14083" width="20" style="35" customWidth="1"/>
    <col min="14084" max="14084" width="20.140625" style="35" customWidth="1"/>
    <col min="14085" max="14085" width="22.140625" style="35" customWidth="1"/>
    <col min="14086" max="14086" width="28" style="35" customWidth="1"/>
    <col min="14087" max="14087" width="0" style="35" hidden="1" customWidth="1"/>
    <col min="14088" max="14336" width="11.42578125" style="35"/>
    <col min="14337" max="14337" width="33.28515625" style="35" customWidth="1"/>
    <col min="14338" max="14338" width="20.5703125" style="35" customWidth="1"/>
    <col min="14339" max="14339" width="20" style="35" customWidth="1"/>
    <col min="14340" max="14340" width="20.140625" style="35" customWidth="1"/>
    <col min="14341" max="14341" width="22.140625" style="35" customWidth="1"/>
    <col min="14342" max="14342" width="28" style="35" customWidth="1"/>
    <col min="14343" max="14343" width="0" style="35" hidden="1" customWidth="1"/>
    <col min="14344" max="14592" width="11.42578125" style="35"/>
    <col min="14593" max="14593" width="33.28515625" style="35" customWidth="1"/>
    <col min="14594" max="14594" width="20.5703125" style="35" customWidth="1"/>
    <col min="14595" max="14595" width="20" style="35" customWidth="1"/>
    <col min="14596" max="14596" width="20.140625" style="35" customWidth="1"/>
    <col min="14597" max="14597" width="22.140625" style="35" customWidth="1"/>
    <col min="14598" max="14598" width="28" style="35" customWidth="1"/>
    <col min="14599" max="14599" width="0" style="35" hidden="1" customWidth="1"/>
    <col min="14600" max="14848" width="11.42578125" style="35"/>
    <col min="14849" max="14849" width="33.28515625" style="35" customWidth="1"/>
    <col min="14850" max="14850" width="20.5703125" style="35" customWidth="1"/>
    <col min="14851" max="14851" width="20" style="35" customWidth="1"/>
    <col min="14852" max="14852" width="20.140625" style="35" customWidth="1"/>
    <col min="14853" max="14853" width="22.140625" style="35" customWidth="1"/>
    <col min="14854" max="14854" width="28" style="35" customWidth="1"/>
    <col min="14855" max="14855" width="0" style="35" hidden="1" customWidth="1"/>
    <col min="14856" max="15104" width="11.42578125" style="35"/>
    <col min="15105" max="15105" width="33.28515625" style="35" customWidth="1"/>
    <col min="15106" max="15106" width="20.5703125" style="35" customWidth="1"/>
    <col min="15107" max="15107" width="20" style="35" customWidth="1"/>
    <col min="15108" max="15108" width="20.140625" style="35" customWidth="1"/>
    <col min="15109" max="15109" width="22.140625" style="35" customWidth="1"/>
    <col min="15110" max="15110" width="28" style="35" customWidth="1"/>
    <col min="15111" max="15111" width="0" style="35" hidden="1" customWidth="1"/>
    <col min="15112" max="15360" width="11.42578125" style="35"/>
    <col min="15361" max="15361" width="33.28515625" style="35" customWidth="1"/>
    <col min="15362" max="15362" width="20.5703125" style="35" customWidth="1"/>
    <col min="15363" max="15363" width="20" style="35" customWidth="1"/>
    <col min="15364" max="15364" width="20.140625" style="35" customWidth="1"/>
    <col min="15365" max="15365" width="22.140625" style="35" customWidth="1"/>
    <col min="15366" max="15366" width="28" style="35" customWidth="1"/>
    <col min="15367" max="15367" width="0" style="35" hidden="1" customWidth="1"/>
    <col min="15368" max="15616" width="11.42578125" style="35"/>
    <col min="15617" max="15617" width="33.28515625" style="35" customWidth="1"/>
    <col min="15618" max="15618" width="20.5703125" style="35" customWidth="1"/>
    <col min="15619" max="15619" width="20" style="35" customWidth="1"/>
    <col min="15620" max="15620" width="20.140625" style="35" customWidth="1"/>
    <col min="15621" max="15621" width="22.140625" style="35" customWidth="1"/>
    <col min="15622" max="15622" width="28" style="35" customWidth="1"/>
    <col min="15623" max="15623" width="0" style="35" hidden="1" customWidth="1"/>
    <col min="15624" max="15872" width="11.42578125" style="35"/>
    <col min="15873" max="15873" width="33.28515625" style="35" customWidth="1"/>
    <col min="15874" max="15874" width="20.5703125" style="35" customWidth="1"/>
    <col min="15875" max="15875" width="20" style="35" customWidth="1"/>
    <col min="15876" max="15876" width="20.140625" style="35" customWidth="1"/>
    <col min="15877" max="15877" width="22.140625" style="35" customWidth="1"/>
    <col min="15878" max="15878" width="28" style="35" customWidth="1"/>
    <col min="15879" max="15879" width="0" style="35" hidden="1" customWidth="1"/>
    <col min="15880" max="16128" width="11.42578125" style="35"/>
    <col min="16129" max="16129" width="33.28515625" style="35" customWidth="1"/>
    <col min="16130" max="16130" width="20.5703125" style="35" customWidth="1"/>
    <col min="16131" max="16131" width="20" style="35" customWidth="1"/>
    <col min="16132" max="16132" width="20.140625" style="35" customWidth="1"/>
    <col min="16133" max="16133" width="22.140625" style="35" customWidth="1"/>
    <col min="16134" max="16134" width="28" style="35" customWidth="1"/>
    <col min="16135" max="16135" width="0" style="35" hidden="1" customWidth="1"/>
    <col min="16136" max="16384" width="11.42578125" style="35"/>
  </cols>
  <sheetData>
    <row r="1" spans="1:14" ht="18.75" customHeight="1" x14ac:dyDescent="0.25">
      <c r="A1" s="112" t="s">
        <v>8</v>
      </c>
      <c r="B1" s="112"/>
      <c r="C1" s="112"/>
      <c r="D1" s="112"/>
      <c r="E1" s="112"/>
      <c r="F1" s="112"/>
      <c r="G1" s="34"/>
      <c r="H1" s="34"/>
      <c r="I1" s="34"/>
      <c r="J1" s="34"/>
      <c r="K1" s="34"/>
      <c r="L1" s="34"/>
    </row>
    <row r="2" spans="1:14" s="38" customFormat="1" ht="18.75" x14ac:dyDescent="0.3">
      <c r="A2" s="112"/>
      <c r="B2" s="112"/>
      <c r="C2" s="112"/>
      <c r="D2" s="112"/>
      <c r="E2" s="112"/>
      <c r="F2" s="112"/>
      <c r="G2" s="36"/>
      <c r="H2" s="37"/>
      <c r="I2" s="37"/>
      <c r="J2" s="37"/>
      <c r="K2" s="37"/>
      <c r="L2" s="37"/>
    </row>
    <row r="3" spans="1:14" s="38" customFormat="1" ht="18.75" x14ac:dyDescent="0.3">
      <c r="A3" s="112"/>
      <c r="B3" s="112"/>
      <c r="C3" s="112"/>
      <c r="D3" s="112"/>
      <c r="E3" s="112"/>
      <c r="F3" s="112"/>
      <c r="G3" s="37"/>
      <c r="H3" s="37"/>
      <c r="I3" s="37"/>
      <c r="J3" s="37"/>
      <c r="K3" s="37"/>
      <c r="L3" s="37"/>
    </row>
    <row r="4" spans="1:14" s="40" customFormat="1" ht="15" customHeight="1" x14ac:dyDescent="0.25">
      <c r="A4" s="112"/>
      <c r="B4" s="112"/>
      <c r="C4" s="112"/>
      <c r="D4" s="112"/>
      <c r="E4" s="112"/>
      <c r="F4" s="112"/>
      <c r="G4" s="39"/>
      <c r="H4" s="39"/>
      <c r="I4" s="39"/>
      <c r="J4" s="39"/>
      <c r="K4" s="39"/>
      <c r="L4" s="39"/>
    </row>
    <row r="5" spans="1:14" ht="15" customHeight="1" x14ac:dyDescent="0.25">
      <c r="A5" s="112"/>
      <c r="B5" s="112"/>
      <c r="C5" s="112"/>
      <c r="D5" s="112"/>
      <c r="E5" s="112"/>
      <c r="F5" s="112"/>
      <c r="G5" s="34"/>
      <c r="H5" s="34"/>
      <c r="I5" s="34"/>
      <c r="J5" s="34"/>
      <c r="K5" s="34"/>
      <c r="L5" s="34"/>
    </row>
    <row r="6" spans="1:14" ht="14.25" customHeight="1" x14ac:dyDescent="0.25">
      <c r="A6" s="112"/>
      <c r="B6" s="112"/>
      <c r="C6" s="112"/>
      <c r="D6" s="112"/>
      <c r="E6" s="112"/>
      <c r="F6" s="112"/>
      <c r="G6" s="34"/>
      <c r="H6" s="34"/>
      <c r="I6" s="34"/>
      <c r="J6" s="34"/>
      <c r="K6" s="34"/>
      <c r="L6" s="34"/>
    </row>
    <row r="7" spans="1:14" ht="12" customHeight="1" x14ac:dyDescent="0.25">
      <c r="A7" s="113"/>
      <c r="B7" s="113"/>
      <c r="C7" s="113"/>
      <c r="D7" s="113"/>
      <c r="E7" s="113"/>
      <c r="F7" s="113"/>
      <c r="H7" s="34"/>
      <c r="I7" s="34"/>
      <c r="J7" s="34"/>
      <c r="K7" s="34"/>
      <c r="L7" s="34"/>
    </row>
    <row r="8" spans="1:14" x14ac:dyDescent="0.25">
      <c r="A8" s="110" t="s">
        <v>32</v>
      </c>
      <c r="B8" s="110" t="s">
        <v>33</v>
      </c>
      <c r="C8" s="110"/>
      <c r="D8" s="110" t="s">
        <v>34</v>
      </c>
      <c r="E8" s="110"/>
      <c r="F8" s="110" t="s">
        <v>35</v>
      </c>
      <c r="G8" s="110" t="s">
        <v>36</v>
      </c>
      <c r="H8" s="34"/>
      <c r="I8" s="34"/>
      <c r="J8" s="34"/>
      <c r="K8" s="34"/>
      <c r="L8" s="34"/>
      <c r="M8" s="34"/>
      <c r="N8" s="34"/>
    </row>
    <row r="9" spans="1:14" x14ac:dyDescent="0.25">
      <c r="A9" s="110"/>
      <c r="B9" s="41" t="s">
        <v>37</v>
      </c>
      <c r="C9" s="41" t="s">
        <v>38</v>
      </c>
      <c r="D9" s="41" t="s">
        <v>39</v>
      </c>
      <c r="E9" s="41" t="s">
        <v>40</v>
      </c>
      <c r="F9" s="110"/>
      <c r="G9" s="110"/>
      <c r="H9" s="34"/>
      <c r="I9" s="34"/>
      <c r="J9" s="34"/>
      <c r="K9" s="34"/>
      <c r="L9" s="34"/>
    </row>
    <row r="10" spans="1:14" x14ac:dyDescent="0.25">
      <c r="A10" s="42" t="s">
        <v>41</v>
      </c>
      <c r="B10" s="67" t="s">
        <v>9</v>
      </c>
      <c r="C10" s="68" t="s">
        <v>9</v>
      </c>
      <c r="D10" s="68" t="s">
        <v>9</v>
      </c>
      <c r="E10" s="68" t="s">
        <v>9</v>
      </c>
      <c r="F10" s="69" t="s">
        <v>9</v>
      </c>
      <c r="G10" s="43" t="s">
        <v>9</v>
      </c>
      <c r="H10" s="34"/>
      <c r="I10" s="34"/>
      <c r="J10" s="34"/>
      <c r="K10" s="34"/>
      <c r="L10" s="34"/>
    </row>
    <row r="11" spans="1:14" x14ac:dyDescent="0.25">
      <c r="A11" s="42" t="s">
        <v>42</v>
      </c>
      <c r="B11" s="70" t="s">
        <v>9</v>
      </c>
      <c r="C11" s="71" t="s">
        <v>9</v>
      </c>
      <c r="D11" s="71" t="s">
        <v>9</v>
      </c>
      <c r="E11" s="71" t="s">
        <v>9</v>
      </c>
      <c r="F11" s="72" t="s">
        <v>9</v>
      </c>
      <c r="G11" s="43" t="s">
        <v>9</v>
      </c>
      <c r="H11" s="34"/>
      <c r="I11" s="34"/>
      <c r="J11" s="34"/>
      <c r="K11" s="34"/>
      <c r="L11" s="34"/>
    </row>
    <row r="12" spans="1:14" x14ac:dyDescent="0.25">
      <c r="A12" s="42" t="s">
        <v>43</v>
      </c>
      <c r="B12" s="70" t="s">
        <v>9</v>
      </c>
      <c r="C12" s="71" t="s">
        <v>9</v>
      </c>
      <c r="D12" s="71" t="s">
        <v>9</v>
      </c>
      <c r="E12" s="71" t="s">
        <v>9</v>
      </c>
      <c r="F12" s="73" t="s">
        <v>10</v>
      </c>
      <c r="G12" s="43" t="s">
        <v>9</v>
      </c>
      <c r="H12" s="34"/>
      <c r="I12" s="34"/>
      <c r="J12" s="34"/>
      <c r="K12" s="34"/>
      <c r="L12" s="34"/>
    </row>
    <row r="13" spans="1:14" x14ac:dyDescent="0.25">
      <c r="A13" s="42" t="s">
        <v>44</v>
      </c>
      <c r="B13" s="70" t="s">
        <v>9</v>
      </c>
      <c r="C13" s="71" t="s">
        <v>9</v>
      </c>
      <c r="D13" s="74" t="s">
        <v>10</v>
      </c>
      <c r="E13" s="71" t="s">
        <v>9</v>
      </c>
      <c r="F13" s="73" t="s">
        <v>10</v>
      </c>
      <c r="G13" s="43" t="s">
        <v>9</v>
      </c>
      <c r="H13" s="34"/>
      <c r="I13" s="34"/>
      <c r="J13" s="34"/>
      <c r="K13" s="34"/>
      <c r="L13" s="34"/>
    </row>
    <row r="14" spans="1:14" x14ac:dyDescent="0.25">
      <c r="A14" s="42" t="s">
        <v>45</v>
      </c>
      <c r="B14" s="70" t="s">
        <v>9</v>
      </c>
      <c r="C14" s="71" t="s">
        <v>9</v>
      </c>
      <c r="D14" s="74" t="s">
        <v>10</v>
      </c>
      <c r="E14" s="71" t="s">
        <v>9</v>
      </c>
      <c r="F14" s="73" t="s">
        <v>10</v>
      </c>
      <c r="G14" s="43" t="s">
        <v>9</v>
      </c>
      <c r="H14" s="34"/>
      <c r="I14" s="34"/>
      <c r="J14" s="34"/>
      <c r="K14" s="34"/>
      <c r="L14" s="34"/>
    </row>
    <row r="15" spans="1:14" x14ac:dyDescent="0.25">
      <c r="A15" s="44" t="s">
        <v>46</v>
      </c>
      <c r="B15" s="75" t="s">
        <v>12</v>
      </c>
      <c r="C15" s="71" t="s">
        <v>9</v>
      </c>
      <c r="D15" s="74" t="s">
        <v>10</v>
      </c>
      <c r="E15" s="74" t="s">
        <v>10</v>
      </c>
      <c r="F15" s="73" t="s">
        <v>10</v>
      </c>
      <c r="G15" s="43" t="s">
        <v>9</v>
      </c>
      <c r="H15" s="34"/>
      <c r="I15" s="34"/>
      <c r="J15" s="34"/>
      <c r="K15" s="34"/>
      <c r="L15" s="34"/>
    </row>
    <row r="16" spans="1:14" x14ac:dyDescent="0.25">
      <c r="A16" s="42" t="s">
        <v>47</v>
      </c>
      <c r="B16" s="70" t="s">
        <v>9</v>
      </c>
      <c r="C16" s="71" t="s">
        <v>9</v>
      </c>
      <c r="D16" s="71" t="s">
        <v>9</v>
      </c>
      <c r="E16" s="71" t="s">
        <v>9</v>
      </c>
      <c r="F16" s="72" t="s">
        <v>9</v>
      </c>
      <c r="G16" s="43" t="s">
        <v>9</v>
      </c>
      <c r="H16" s="34"/>
      <c r="I16" s="34"/>
      <c r="J16" s="34"/>
      <c r="K16" s="34"/>
      <c r="L16" s="34"/>
    </row>
    <row r="17" spans="1:12" x14ac:dyDescent="0.25">
      <c r="A17" s="42" t="s">
        <v>48</v>
      </c>
      <c r="B17" s="70" t="s">
        <v>9</v>
      </c>
      <c r="C17" s="71" t="s">
        <v>9</v>
      </c>
      <c r="D17" s="74" t="s">
        <v>10</v>
      </c>
      <c r="E17" s="71" t="s">
        <v>9</v>
      </c>
      <c r="F17" s="73" t="s">
        <v>10</v>
      </c>
      <c r="G17" s="43" t="s">
        <v>9</v>
      </c>
      <c r="H17" s="34"/>
      <c r="I17" s="34"/>
      <c r="J17" s="34"/>
      <c r="K17" s="34"/>
      <c r="L17" s="34"/>
    </row>
    <row r="18" spans="1:12" x14ac:dyDescent="0.25">
      <c r="A18" s="42" t="s">
        <v>49</v>
      </c>
      <c r="B18" s="70" t="s">
        <v>9</v>
      </c>
      <c r="C18" s="71" t="s">
        <v>9</v>
      </c>
      <c r="D18" s="71" t="s">
        <v>9</v>
      </c>
      <c r="E18" s="71" t="s">
        <v>9</v>
      </c>
      <c r="F18" s="73" t="s">
        <v>11</v>
      </c>
      <c r="G18" s="43" t="s">
        <v>9</v>
      </c>
      <c r="H18" s="34"/>
      <c r="I18" s="34"/>
      <c r="J18" s="34"/>
      <c r="K18" s="34"/>
      <c r="L18" s="34"/>
    </row>
    <row r="19" spans="1:12" x14ac:dyDescent="0.25">
      <c r="A19" s="42" t="s">
        <v>50</v>
      </c>
      <c r="B19" s="70" t="s">
        <v>9</v>
      </c>
      <c r="C19" s="71" t="s">
        <v>9</v>
      </c>
      <c r="D19" s="71" t="s">
        <v>9</v>
      </c>
      <c r="E19" s="71" t="s">
        <v>9</v>
      </c>
      <c r="F19" s="72" t="s">
        <v>9</v>
      </c>
      <c r="G19" s="43" t="s">
        <v>9</v>
      </c>
      <c r="H19" s="34"/>
      <c r="I19" s="34"/>
      <c r="J19" s="34"/>
      <c r="K19" s="34"/>
      <c r="L19" s="34"/>
    </row>
    <row r="20" spans="1:12" x14ac:dyDescent="0.25">
      <c r="A20" s="42" t="s">
        <v>51</v>
      </c>
      <c r="B20" s="70" t="s">
        <v>9</v>
      </c>
      <c r="C20" s="71" t="s">
        <v>9</v>
      </c>
      <c r="D20" s="71" t="s">
        <v>9</v>
      </c>
      <c r="E20" s="71" t="s">
        <v>9</v>
      </c>
      <c r="F20" s="72" t="s">
        <v>9</v>
      </c>
      <c r="G20" s="43" t="s">
        <v>9</v>
      </c>
      <c r="H20" s="34"/>
      <c r="I20" s="34"/>
      <c r="J20" s="34"/>
      <c r="K20" s="34"/>
      <c r="L20" s="34"/>
    </row>
    <row r="21" spans="1:12" x14ac:dyDescent="0.25">
      <c r="A21" s="42" t="s">
        <v>52</v>
      </c>
      <c r="B21" s="70" t="s">
        <v>9</v>
      </c>
      <c r="C21" s="71" t="s">
        <v>9</v>
      </c>
      <c r="D21" s="71" t="s">
        <v>9</v>
      </c>
      <c r="E21" s="71" t="s">
        <v>9</v>
      </c>
      <c r="F21" s="72" t="s">
        <v>9</v>
      </c>
      <c r="G21" s="43" t="s">
        <v>9</v>
      </c>
      <c r="H21" s="34"/>
      <c r="I21" s="34"/>
      <c r="J21" s="34"/>
      <c r="K21" s="34"/>
      <c r="L21" s="34"/>
    </row>
    <row r="22" spans="1:12" x14ac:dyDescent="0.25">
      <c r="A22" s="42" t="s">
        <v>53</v>
      </c>
      <c r="B22" s="70" t="s">
        <v>9</v>
      </c>
      <c r="C22" s="71" t="s">
        <v>9</v>
      </c>
      <c r="D22" s="71" t="s">
        <v>9</v>
      </c>
      <c r="E22" s="71" t="s">
        <v>9</v>
      </c>
      <c r="F22" s="72" t="s">
        <v>9</v>
      </c>
      <c r="G22" s="43" t="s">
        <v>9</v>
      </c>
      <c r="H22" s="34"/>
      <c r="I22" s="34"/>
      <c r="J22" s="34"/>
      <c r="K22" s="34"/>
      <c r="L22" s="34"/>
    </row>
    <row r="23" spans="1:12" x14ac:dyDescent="0.25">
      <c r="A23" s="42" t="s">
        <v>54</v>
      </c>
      <c r="B23" s="70" t="s">
        <v>9</v>
      </c>
      <c r="C23" s="71" t="s">
        <v>9</v>
      </c>
      <c r="D23" s="71" t="s">
        <v>9</v>
      </c>
      <c r="E23" s="71" t="s">
        <v>9</v>
      </c>
      <c r="F23" s="73" t="s">
        <v>10</v>
      </c>
      <c r="G23" s="43" t="s">
        <v>9</v>
      </c>
      <c r="H23" s="34"/>
      <c r="I23" s="34"/>
      <c r="J23" s="34"/>
      <c r="K23" s="34"/>
      <c r="L23" s="34"/>
    </row>
    <row r="24" spans="1:12" x14ac:dyDescent="0.25">
      <c r="A24" s="42" t="s">
        <v>55</v>
      </c>
      <c r="B24" s="70" t="s">
        <v>9</v>
      </c>
      <c r="C24" s="71" t="s">
        <v>9</v>
      </c>
      <c r="D24" s="71" t="s">
        <v>9</v>
      </c>
      <c r="E24" s="71" t="s">
        <v>9</v>
      </c>
      <c r="F24" s="72" t="s">
        <v>9</v>
      </c>
      <c r="G24" s="43" t="s">
        <v>9</v>
      </c>
      <c r="H24" s="34"/>
      <c r="I24" s="34"/>
      <c r="J24" s="34"/>
      <c r="K24" s="34"/>
      <c r="L24" s="34"/>
    </row>
    <row r="25" spans="1:12" x14ac:dyDescent="0.25">
      <c r="A25" s="42" t="s">
        <v>56</v>
      </c>
      <c r="B25" s="70" t="s">
        <v>9</v>
      </c>
      <c r="C25" s="71" t="s">
        <v>9</v>
      </c>
      <c r="D25" s="74" t="s">
        <v>10</v>
      </c>
      <c r="E25" s="71" t="s">
        <v>9</v>
      </c>
      <c r="F25" s="73" t="s">
        <v>10</v>
      </c>
      <c r="G25" s="43" t="s">
        <v>9</v>
      </c>
      <c r="H25" s="34"/>
      <c r="I25" s="34"/>
      <c r="J25" s="34"/>
      <c r="K25" s="34"/>
      <c r="L25" s="34"/>
    </row>
    <row r="26" spans="1:12" x14ac:dyDescent="0.25">
      <c r="A26" s="42" t="s">
        <v>57</v>
      </c>
      <c r="B26" s="70" t="s">
        <v>9</v>
      </c>
      <c r="C26" s="71" t="s">
        <v>9</v>
      </c>
      <c r="D26" s="71" t="s">
        <v>9</v>
      </c>
      <c r="E26" s="71" t="s">
        <v>9</v>
      </c>
      <c r="F26" s="72" t="s">
        <v>9</v>
      </c>
      <c r="G26" s="43" t="s">
        <v>9</v>
      </c>
      <c r="H26" s="34"/>
      <c r="I26" s="34"/>
      <c r="J26" s="34"/>
      <c r="K26" s="34"/>
      <c r="L26" s="34"/>
    </row>
    <row r="27" spans="1:12" x14ac:dyDescent="0.25">
      <c r="A27" s="42" t="s">
        <v>58</v>
      </c>
      <c r="B27" s="70" t="s">
        <v>9</v>
      </c>
      <c r="C27" s="71" t="s">
        <v>9</v>
      </c>
      <c r="D27" s="71" t="s">
        <v>9</v>
      </c>
      <c r="E27" s="71" t="s">
        <v>9</v>
      </c>
      <c r="F27" s="72" t="s">
        <v>9</v>
      </c>
      <c r="G27" s="43" t="s">
        <v>9</v>
      </c>
      <c r="H27" s="34"/>
      <c r="I27" s="34"/>
      <c r="J27" s="34"/>
      <c r="K27" s="34"/>
      <c r="L27" s="34"/>
    </row>
    <row r="28" spans="1:12" x14ac:dyDescent="0.25">
      <c r="A28" s="42" t="s">
        <v>59</v>
      </c>
      <c r="B28" s="70" t="s">
        <v>9</v>
      </c>
      <c r="C28" s="71" t="s">
        <v>9</v>
      </c>
      <c r="D28" s="74" t="s">
        <v>10</v>
      </c>
      <c r="E28" s="71" t="s">
        <v>9</v>
      </c>
      <c r="F28" s="73" t="s">
        <v>10</v>
      </c>
      <c r="G28" s="43" t="s">
        <v>9</v>
      </c>
      <c r="H28" s="34"/>
      <c r="I28" s="34"/>
      <c r="J28" s="34"/>
      <c r="K28" s="34"/>
      <c r="L28" s="34"/>
    </row>
    <row r="29" spans="1:12" x14ac:dyDescent="0.25">
      <c r="A29" s="42" t="s">
        <v>60</v>
      </c>
      <c r="B29" s="70" t="s">
        <v>9</v>
      </c>
      <c r="C29" s="71" t="s">
        <v>9</v>
      </c>
      <c r="D29" s="71" t="s">
        <v>9</v>
      </c>
      <c r="E29" s="71" t="s">
        <v>9</v>
      </c>
      <c r="F29" s="72" t="s">
        <v>9</v>
      </c>
      <c r="G29" s="43" t="s">
        <v>9</v>
      </c>
      <c r="H29" s="34"/>
      <c r="I29" s="34"/>
      <c r="J29" s="34"/>
      <c r="K29" s="34"/>
      <c r="L29" s="34"/>
    </row>
    <row r="30" spans="1:12" x14ac:dyDescent="0.25">
      <c r="A30" s="42" t="s">
        <v>61</v>
      </c>
      <c r="B30" s="70" t="s">
        <v>9</v>
      </c>
      <c r="C30" s="71" t="s">
        <v>9</v>
      </c>
      <c r="D30" s="71" t="s">
        <v>9</v>
      </c>
      <c r="E30" s="71" t="s">
        <v>9</v>
      </c>
      <c r="F30" s="72" t="s">
        <v>9</v>
      </c>
      <c r="G30" s="43" t="s">
        <v>9</v>
      </c>
      <c r="H30" s="34"/>
      <c r="I30" s="34"/>
      <c r="J30" s="34"/>
      <c r="K30" s="34"/>
      <c r="L30" s="34"/>
    </row>
    <row r="31" spans="1:12" x14ac:dyDescent="0.25">
      <c r="A31" s="42" t="s">
        <v>62</v>
      </c>
      <c r="B31" s="70" t="s">
        <v>9</v>
      </c>
      <c r="C31" s="71" t="s">
        <v>9</v>
      </c>
      <c r="D31" s="71" t="s">
        <v>9</v>
      </c>
      <c r="E31" s="71" t="s">
        <v>9</v>
      </c>
      <c r="F31" s="72" t="s">
        <v>9</v>
      </c>
      <c r="G31" s="43" t="s">
        <v>9</v>
      </c>
      <c r="H31" s="34"/>
      <c r="I31" s="34"/>
      <c r="J31" s="34"/>
      <c r="K31" s="34"/>
      <c r="L31" s="34"/>
    </row>
    <row r="32" spans="1:12" x14ac:dyDescent="0.25">
      <c r="A32" s="42" t="s">
        <v>63</v>
      </c>
      <c r="B32" s="76" t="s">
        <v>9</v>
      </c>
      <c r="C32" s="77" t="s">
        <v>9</v>
      </c>
      <c r="D32" s="78" t="s">
        <v>10</v>
      </c>
      <c r="E32" s="77" t="s">
        <v>9</v>
      </c>
      <c r="F32" s="79" t="s">
        <v>10</v>
      </c>
      <c r="G32" s="43" t="s">
        <v>9</v>
      </c>
      <c r="H32" s="34"/>
      <c r="I32" s="34"/>
      <c r="J32" s="34"/>
      <c r="K32" s="34"/>
      <c r="L32" s="34"/>
    </row>
    <row r="33" spans="1:12" ht="21.75" customHeight="1" x14ac:dyDescent="0.25">
      <c r="A33" s="45" t="s">
        <v>64</v>
      </c>
      <c r="B33" s="46"/>
      <c r="C33" s="46"/>
      <c r="D33" s="47"/>
      <c r="E33" s="46"/>
      <c r="F33" s="47"/>
      <c r="G33" s="46"/>
      <c r="H33" s="34"/>
      <c r="I33" s="34"/>
      <c r="J33" s="34"/>
      <c r="K33" s="34"/>
      <c r="L33" s="34"/>
    </row>
    <row r="34" spans="1:12" ht="6.95" customHeight="1" x14ac:dyDescent="0.25">
      <c r="B34" s="46"/>
      <c r="C34" s="46"/>
      <c r="D34" s="47"/>
      <c r="E34" s="46"/>
      <c r="F34" s="47"/>
      <c r="G34" s="46"/>
      <c r="H34" s="34"/>
      <c r="I34" s="34"/>
      <c r="J34" s="34"/>
      <c r="K34" s="34"/>
      <c r="L34" s="34"/>
    </row>
    <row r="35" spans="1:12" x14ac:dyDescent="0.25">
      <c r="A35" s="48" t="s">
        <v>65</v>
      </c>
      <c r="B35" s="46"/>
      <c r="C35" s="46"/>
      <c r="D35" s="47"/>
      <c r="E35" s="46"/>
      <c r="F35" s="47"/>
      <c r="G35" s="46"/>
      <c r="H35" s="34"/>
      <c r="I35" s="34"/>
      <c r="J35" s="34"/>
      <c r="K35" s="34"/>
      <c r="L35" s="34"/>
    </row>
    <row r="36" spans="1:12" ht="46.5" customHeight="1" x14ac:dyDescent="0.25">
      <c r="A36" s="111" t="s">
        <v>66</v>
      </c>
      <c r="B36" s="111"/>
      <c r="C36" s="111"/>
      <c r="D36" s="111"/>
      <c r="E36" s="111"/>
      <c r="F36" s="111"/>
      <c r="G36" s="49"/>
      <c r="H36" s="34"/>
      <c r="I36" s="34"/>
      <c r="J36" s="34"/>
      <c r="K36" s="34"/>
      <c r="L36" s="34"/>
    </row>
    <row r="37" spans="1:12" ht="27.75" customHeight="1" x14ac:dyDescent="0.25">
      <c r="A37" s="111" t="s">
        <v>67</v>
      </c>
      <c r="B37" s="114"/>
      <c r="C37" s="114"/>
      <c r="D37" s="114"/>
      <c r="E37" s="114"/>
      <c r="F37" s="114"/>
      <c r="G37" s="114"/>
      <c r="H37" s="34"/>
      <c r="I37" s="34"/>
      <c r="J37" s="34"/>
      <c r="K37" s="34"/>
      <c r="L37" s="34"/>
    </row>
    <row r="38" spans="1:12" ht="6.95" customHeight="1" thickBot="1" x14ac:dyDescent="0.3">
      <c r="A38" s="50"/>
      <c r="B38" s="51"/>
      <c r="C38" s="51"/>
      <c r="D38" s="51"/>
      <c r="E38" s="51"/>
      <c r="F38" s="51"/>
      <c r="G38" s="49"/>
      <c r="H38" s="34"/>
      <c r="I38" s="34"/>
      <c r="J38" s="34"/>
      <c r="K38" s="34"/>
      <c r="L38" s="34"/>
    </row>
    <row r="39" spans="1:12" x14ac:dyDescent="0.25">
      <c r="A39" s="33" t="s">
        <v>31</v>
      </c>
      <c r="B39" s="52"/>
      <c r="C39" s="52"/>
      <c r="D39" s="52"/>
      <c r="E39" s="52"/>
      <c r="F39" s="52"/>
      <c r="G39" s="49"/>
      <c r="H39" s="34"/>
      <c r="I39" s="34"/>
      <c r="J39" s="34"/>
      <c r="K39" s="34"/>
      <c r="L39" s="34"/>
    </row>
    <row r="40" spans="1:12" ht="15" customHeight="1" x14ac:dyDescent="0.25">
      <c r="A40" s="115"/>
      <c r="B40" s="109"/>
      <c r="C40" s="109"/>
      <c r="D40" s="109"/>
      <c r="E40" s="109"/>
      <c r="F40" s="109"/>
      <c r="G40" s="109"/>
      <c r="H40" s="34"/>
      <c r="I40" s="34"/>
      <c r="J40" s="34"/>
      <c r="K40" s="34"/>
      <c r="L40" s="34"/>
    </row>
    <row r="41" spans="1:12" x14ac:dyDescent="0.25">
      <c r="A41" s="53"/>
      <c r="B41" s="49"/>
      <c r="C41" s="49"/>
      <c r="D41" s="49"/>
      <c r="E41" s="49"/>
      <c r="F41" s="49"/>
      <c r="G41" s="49"/>
    </row>
    <row r="42" spans="1:12" ht="26.25" customHeight="1" x14ac:dyDescent="0.25"/>
    <row r="43" spans="1:12" x14ac:dyDescent="0.25">
      <c r="A43" s="53"/>
      <c r="B43" s="49"/>
      <c r="C43" s="49"/>
      <c r="D43" s="49"/>
      <c r="E43" s="49"/>
      <c r="F43" s="49"/>
      <c r="G43" s="49"/>
    </row>
    <row r="44" spans="1:12" ht="21" customHeight="1" x14ac:dyDescent="0.25">
      <c r="A44" s="115"/>
      <c r="B44" s="109"/>
      <c r="C44" s="109"/>
      <c r="D44" s="109"/>
      <c r="E44" s="109"/>
      <c r="F44" s="109"/>
      <c r="G44" s="109"/>
    </row>
    <row r="45" spans="1:12" x14ac:dyDescent="0.25">
      <c r="A45" s="53"/>
      <c r="B45" s="49"/>
      <c r="C45" s="49"/>
      <c r="D45" s="49"/>
      <c r="E45" s="49"/>
      <c r="F45" s="49"/>
      <c r="G45" s="49"/>
    </row>
    <row r="46" spans="1:12" ht="27.75" customHeight="1" x14ac:dyDescent="0.25">
      <c r="A46" s="115"/>
      <c r="B46" s="109"/>
      <c r="C46" s="109"/>
      <c r="D46" s="109"/>
      <c r="E46" s="109"/>
      <c r="F46" s="109"/>
      <c r="G46" s="109"/>
    </row>
    <row r="47" spans="1:12" ht="63.75" customHeight="1" x14ac:dyDescent="0.25">
      <c r="A47" s="108"/>
      <c r="B47" s="109"/>
      <c r="C47" s="109"/>
      <c r="D47" s="109"/>
      <c r="E47" s="109"/>
      <c r="F47" s="109"/>
      <c r="G47" s="109"/>
    </row>
  </sheetData>
  <mergeCells count="12">
    <mergeCell ref="A1:F7"/>
    <mergeCell ref="A37:G37"/>
    <mergeCell ref="A40:G40"/>
    <mergeCell ref="A44:G44"/>
    <mergeCell ref="A46:G46"/>
    <mergeCell ref="A47:G47"/>
    <mergeCell ref="A8:A9"/>
    <mergeCell ref="B8:C8"/>
    <mergeCell ref="D8:E8"/>
    <mergeCell ref="F8:F9"/>
    <mergeCell ref="G8:G9"/>
    <mergeCell ref="A36:F36"/>
  </mergeCells>
  <dataValidations disablePrompts="1" count="1">
    <dataValidation type="custom" errorStyle="warning" allowBlank="1" showInputMessage="1" showErrorMessage="1" errorTitle="error" error="warning" sqref="B39:F39" xr:uid="{00000000-0002-0000-0700-000000000000}">
      <formula1>"&gt;10"</formula1>
    </dataValidation>
  </dataValidations>
  <printOptions horizontalCentered="1" verticalCentered="1"/>
  <pageMargins left="0.59055118110236227" right="0.59055118110236227" top="0.39370078740157483" bottom="0.39370078740157483" header="0" footer="0"/>
  <pageSetup paperSize="9" scale="4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IIBB</vt:lpstr>
      <vt:lpstr>INMOBILIARIO</vt:lpstr>
      <vt:lpstr>SELLOS</vt:lpstr>
      <vt:lpstr>AUTOMOTORES</vt:lpstr>
      <vt:lpstr>OTROS</vt:lpstr>
      <vt:lpstr>TOTAL</vt:lpstr>
      <vt:lpstr>Fuente-Metodología</vt:lpstr>
      <vt:lpstr>Potestades Tributarias</vt:lpstr>
      <vt:lpstr>AUTOMOTORES!Área_de_impresión</vt:lpstr>
      <vt:lpstr>'Fuente-Metodología'!Área_de_impresión</vt:lpstr>
      <vt:lpstr>IIBB!Área_de_impresión</vt:lpstr>
      <vt:lpstr>INMOBILIARIO!Área_de_impresión</vt:lpstr>
      <vt:lpstr>OTROS!Área_de_impresión</vt:lpstr>
      <vt:lpstr>'Potestades Tributarias'!Área_de_impresión</vt:lpstr>
      <vt:lpstr>SELLOS!Área_de_impresión</vt:lpstr>
      <vt:lpstr>TOTAL!Área_de_impresión</vt:lpstr>
    </vt:vector>
  </TitlesOfParts>
  <Company>MECON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Analia Valeria Fortes</dc:creator>
  <cp:lastModifiedBy>mpozzo</cp:lastModifiedBy>
  <cp:lastPrinted>2020-12-17T19:44:16Z</cp:lastPrinted>
  <dcterms:created xsi:type="dcterms:W3CDTF">2019-03-22T14:53:14Z</dcterms:created>
  <dcterms:modified xsi:type="dcterms:W3CDTF">2026-09-14T20:24:45Z</dcterms:modified>
</cp:coreProperties>
</file>