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defaultThemeVersion="124226"/>
  <mc:AlternateContent xmlns:mc="http://schemas.openxmlformats.org/markup-compatibility/2006">
    <mc:Choice Requires="x15">
      <x15ac:absPath xmlns:x15ac="http://schemas.microsoft.com/office/spreadsheetml/2010/11/ac" url="F:\DNCFP\Recursos\internet\Publicaciones\NUEVA WEB DNAP\TOP-Información Mensual\2026\"/>
    </mc:Choice>
  </mc:AlternateContent>
  <xr:revisionPtr revIDLastSave="0" documentId="13_ncr:1_{AAC3362A-5DF3-4D3E-B7BC-EA977432B552}" xr6:coauthVersionLast="47" xr6:coauthVersionMax="47" xr10:uidLastSave="{00000000-0000-0000-0000-000000000000}"/>
  <bookViews>
    <workbookView xWindow="-120" yWindow="-120" windowWidth="29040" windowHeight="15840" tabRatio="591" xr2:uid="{00000000-000D-0000-FFFF-FFFF00000000}"/>
  </bookViews>
  <sheets>
    <sheet name="IIBB" sheetId="1" r:id="rId1"/>
    <sheet name="INMOBILIARIO" sheetId="2" r:id="rId2"/>
    <sheet name="SELLOS" sheetId="3" r:id="rId3"/>
    <sheet name="AUTOMOTORES" sheetId="4" r:id="rId4"/>
    <sheet name="OTROS" sheetId="5" r:id="rId5"/>
    <sheet name="TOTAL" sheetId="6" r:id="rId6"/>
    <sheet name="Fuente-Metodología" sheetId="10" r:id="rId7"/>
    <sheet name="Potestades Tributarias" sheetId="9" r:id="rId8"/>
  </sheets>
  <externalReferences>
    <externalReference r:id="rId9"/>
    <externalReference r:id="rId10"/>
  </externalReferences>
  <definedNames>
    <definedName name="\a" localSheetId="6">#REF!</definedName>
    <definedName name="\a" localSheetId="7">#REF!</definedName>
    <definedName name="\a">#REF!</definedName>
    <definedName name="\b" localSheetId="6">#REF!</definedName>
    <definedName name="\b" localSheetId="7">#REF!</definedName>
    <definedName name="\b">#REF!</definedName>
    <definedName name="\c" localSheetId="6">#REF!</definedName>
    <definedName name="\c" localSheetId="7">#REF!</definedName>
    <definedName name="\c">#REF!</definedName>
    <definedName name="\d">#REF!</definedName>
    <definedName name="\e">#REF!</definedName>
    <definedName name="\f">#REF!</definedName>
    <definedName name="\g">#REF!</definedName>
    <definedName name="\h">#REF!</definedName>
    <definedName name="\j">#REF!</definedName>
    <definedName name="\k">#REF!</definedName>
    <definedName name="\l">#REF!</definedName>
    <definedName name="\m">#REF!</definedName>
    <definedName name="\n">#REF!</definedName>
    <definedName name="\p">#REF!</definedName>
    <definedName name="\q">#REF!</definedName>
    <definedName name="\r">#REF!</definedName>
    <definedName name="\s">#REF!</definedName>
    <definedName name="\t">#REF!</definedName>
    <definedName name="\u">#REF!</definedName>
    <definedName name="\v">#REF!</definedName>
    <definedName name="\w">#REF!</definedName>
    <definedName name="\x">#REF!</definedName>
    <definedName name="\y">#REF!</definedName>
    <definedName name="\z">#REF!</definedName>
    <definedName name="_._IMPUESTOS_SOBRE_COMBUSTIBLES_Y_GAS_NATURAL">[1]C!$B$27:$N$27</definedName>
    <definedName name="_._IMPUESTOS_SOBRE_ENERGIA_ELECTRICA">[1]C!$B$28:$N$28</definedName>
    <definedName name="_ex2" localSheetId="6" hidden="1">{FALSE,FALSE,-1.25,-15.5,484.5,276.75,FALSE,FALSE,TRUE,TRUE,0,12,#N/A,46,#N/A,2.93460490463215,15.35,1,FALSE,FALSE,3,TRUE,1,FALSE,100,"Swvu.PLA1.","ACwvu.PLA1.",#N/A,FALSE,FALSE,0,0,0,0,2,"","",TRUE,TRUE,FALSE,FALSE,1,60,#N/A,#N/A,FALSE,FALSE,FALSE,FALSE,FALSE,FALSE,FALSE,9,65532,65532,FALSE,FALSE,TRUE,TRUE,TRUE}</definedName>
    <definedName name="_ex2" localSheetId="7" hidden="1">{FALSE,FALSE,-1.25,-15.5,484.5,276.75,FALSE,FALSE,TRUE,TRUE,0,12,#N/A,46,#N/A,2.93460490463215,15.35,1,FALSE,FALSE,3,TRUE,1,FALSE,100,"Swvu.PLA1.","ACwvu.PLA1.",#N/A,FALSE,FALSE,0,0,0,0,2,"","",TRUE,TRUE,FALSE,FALSE,1,60,#N/A,#N/A,FALSE,FALSE,FALSE,FALSE,FALSE,FALSE,FALSE,9,65532,65532,FALSE,FALSE,TRUE,TRUE,TRUE}</definedName>
    <definedName name="_ex2" hidden="1">{FALSE,FALSE,-1.25,-15.5,484.5,276.75,FALSE,FALSE,TRUE,TRUE,0,12,#N/A,46,#N/A,2.93460490463215,15.35,1,FALSE,FALSE,3,TRUE,1,FALSE,100,"Swvu.PLA1.","ACwvu.PLA1.",#N/A,FALSE,FALSE,0,0,0,0,2,"","",TRUE,TRUE,FALSE,FALSE,1,60,#N/A,#N/A,FALSE,FALSE,FALSE,FALSE,FALSE,FALSE,FALSE,9,65532,65532,FALSE,FALSE,TRUE,TRUE,TRUE}</definedName>
    <definedName name="_F">#REF!</definedName>
    <definedName name="_Fill" hidden="1">#REF!</definedName>
    <definedName name="_Key1" hidden="1">#REF!</definedName>
    <definedName name="_Order1" hidden="1">255</definedName>
    <definedName name="_Parse_In" hidden="1">#REF!</definedName>
    <definedName name="_Parse_Out" hidden="1">#REF!</definedName>
    <definedName name="_R">#REF!</definedName>
    <definedName name="_Sort" hidden="1">#REF!</definedName>
    <definedName name="A">#REF!</definedName>
    <definedName name="ACwvu.PLA1." hidden="1">'[1]COP FED'!#REF!</definedName>
    <definedName name="ACwvu.PLA2." hidden="1">'[1]COP FED'!$A$1:$N$49</definedName>
    <definedName name="_xlnm.Extract">#REF!</definedName>
    <definedName name="_xlnm.Print_Area" localSheetId="3">AUTOMOTORES!$B$2:$O$32</definedName>
    <definedName name="_xlnm.Print_Area" localSheetId="6">'Fuente-Metodología'!$B$1:$C$32</definedName>
    <definedName name="_xlnm.Print_Area" localSheetId="0">IIBB!$B$2:$O$35</definedName>
    <definedName name="_xlnm.Print_Area" localSheetId="1">INMOBILIARIO!$B$2:$O$32</definedName>
    <definedName name="_xlnm.Print_Area" localSheetId="4">OTROS!$B$2:$O$32</definedName>
    <definedName name="_xlnm.Print_Area" localSheetId="7">'Potestades Tributarias'!$A$8:$G$37</definedName>
    <definedName name="_xlnm.Print_Area" localSheetId="2">SELLOS!$B$2:$O$32</definedName>
    <definedName name="_xlnm.Print_Area" localSheetId="5">TOTAL!$B$2:$O$32</definedName>
    <definedName name="_xlnm.Print_Area">'[1]Fto. a partir del impuesto'!$D$7:$D$50</definedName>
    <definedName name="B">#REF!</definedName>
    <definedName name="Base_datos_IM">#REF!</definedName>
    <definedName name="_xlnm.Database">#REF!</definedName>
    <definedName name="BORRAR">#REF!</definedName>
    <definedName name="C_">#REF!</definedName>
    <definedName name="caja" localSheetId="3" hidden="1">{FALSE,FALSE,-1.25,-15.5,484.5,276.75,FALSE,FALSE,TRUE,TRUE,0,12,#N/A,46,#N/A,2.93460490463215,15.35,1,FALSE,FALSE,3,TRUE,1,FALSE,100,"Swvu.PLA1.","ACwvu.PLA1.",#N/A,FALSE,FALSE,0,0,0,0,2,"","",TRUE,TRUE,FALSE,FALSE,1,60,#N/A,#N/A,FALSE,FALSE,FALSE,FALSE,FALSE,FALSE,FALSE,9,65532,65532,FALSE,FALSE,TRUE,TRUE,TRUE}</definedName>
    <definedName name="caja" localSheetId="6" hidden="1">{FALSE,FALSE,-1.25,-15.5,484.5,276.75,FALSE,FALSE,TRUE,TRUE,0,12,#N/A,46,#N/A,2.93460490463215,15.35,1,FALSE,FALSE,3,TRUE,1,FALSE,100,"Swvu.PLA1.","ACwvu.PLA1.",#N/A,FALSE,FALSE,0,0,0,0,2,"","",TRUE,TRUE,FALSE,FALSE,1,60,#N/A,#N/A,FALSE,FALSE,FALSE,FALSE,FALSE,FALSE,FALSE,9,65532,65532,FALSE,FALSE,TRUE,TRUE,TRUE}</definedName>
    <definedName name="caja" localSheetId="0" hidden="1">{FALSE,FALSE,-1.25,-15.5,484.5,276.75,FALSE,FALSE,TRUE,TRUE,0,12,#N/A,46,#N/A,2.93460490463215,15.35,1,FALSE,FALSE,3,TRUE,1,FALSE,100,"Swvu.PLA1.","ACwvu.PLA1.",#N/A,FALSE,FALSE,0,0,0,0,2,"","",TRUE,TRUE,FALSE,FALSE,1,60,#N/A,#N/A,FALSE,FALSE,FALSE,FALSE,FALSE,FALSE,FALSE,9,65532,65532,FALSE,FALSE,TRUE,TRUE,TRUE}</definedName>
    <definedName name="caja" localSheetId="1" hidden="1">{FALSE,FALSE,-1.25,-15.5,484.5,276.75,FALSE,FALSE,TRUE,TRUE,0,12,#N/A,46,#N/A,2.93460490463215,15.35,1,FALSE,FALSE,3,TRUE,1,FALSE,100,"Swvu.PLA1.","ACwvu.PLA1.",#N/A,FALSE,FALSE,0,0,0,0,2,"","",TRUE,TRUE,FALSE,FALSE,1,60,#N/A,#N/A,FALSE,FALSE,FALSE,FALSE,FALSE,FALSE,FALSE,9,65532,65532,FALSE,FALSE,TRUE,TRUE,TRUE}</definedName>
    <definedName name="caja" localSheetId="4" hidden="1">{FALSE,FALSE,-1.25,-15.5,484.5,276.75,FALSE,FALSE,TRUE,TRUE,0,12,#N/A,46,#N/A,2.93460490463215,15.35,1,FALSE,FALSE,3,TRUE,1,FALSE,100,"Swvu.PLA1.","ACwvu.PLA1.",#N/A,FALSE,FALSE,0,0,0,0,2,"","",TRUE,TRUE,FALSE,FALSE,1,60,#N/A,#N/A,FALSE,FALSE,FALSE,FALSE,FALSE,FALSE,FALSE,9,65532,65532,FALSE,FALSE,TRUE,TRUE,TRUE}</definedName>
    <definedName name="caja" localSheetId="7" hidden="1">{FALSE,FALSE,-1.25,-15.5,484.5,276.75,FALSE,FALSE,TRUE,TRUE,0,12,#N/A,46,#N/A,2.93460490463215,15.35,1,FALSE,FALSE,3,TRUE,1,FALSE,100,"Swvu.PLA1.","ACwvu.PLA1.",#N/A,FALSE,FALSE,0,0,0,0,2,"","",TRUE,TRUE,FALSE,FALSE,1,60,#N/A,#N/A,FALSE,FALSE,FALSE,FALSE,FALSE,FALSE,FALSE,9,65532,65532,FALSE,FALSE,TRUE,TRUE,TRUE}</definedName>
    <definedName name="caja" localSheetId="2" hidden="1">{FALSE,FALSE,-1.25,-15.5,484.5,276.75,FALSE,FALSE,TRUE,TRUE,0,12,#N/A,46,#N/A,2.93460490463215,15.35,1,FALSE,FALSE,3,TRUE,1,FALSE,100,"Swvu.PLA1.","ACwvu.PLA1.",#N/A,FALSE,FALSE,0,0,0,0,2,"","",TRUE,TRUE,FALSE,FALSE,1,60,#N/A,#N/A,FALSE,FALSE,FALSE,FALSE,FALSE,FALSE,FALSE,9,65532,65532,FALSE,FALSE,TRUE,TRUE,TRUE}</definedName>
    <definedName name="caja" localSheetId="5" hidden="1">{FALSE,FALSE,-1.25,-15.5,484.5,276.75,FALSE,FALSE,TRUE,TRUE,0,12,#N/A,46,#N/A,2.93460490463215,15.35,1,FALSE,FALSE,3,TRUE,1,FALSE,100,"Swvu.PLA1.","ACwvu.PLA1.",#N/A,FALSE,FALSE,0,0,0,0,2,"","",TRUE,TRUE,FALSE,FALSE,1,60,#N/A,#N/A,FALSE,FALSE,FALSE,FALSE,FALSE,FALSE,FALSE,9,65532,65532,FALSE,FALSE,TRUE,TRUE,TRUE}</definedName>
    <definedName name="caja" hidden="1">{FALSE,FALSE,-1.25,-15.5,484.5,276.75,FALSE,FALSE,TRUE,TRUE,0,12,#N/A,46,#N/A,2.93460490463215,15.35,1,FALSE,FALSE,3,TRUE,1,FALSE,100,"Swvu.PLA1.","ACwvu.PLA1.",#N/A,FALSE,FALSE,0,0,0,0,2,"","",TRUE,TRUE,FALSE,FALSE,1,60,#N/A,#N/A,FALSE,FALSE,FALSE,FALSE,FALSE,FALSE,FALSE,9,65532,65532,FALSE,FALSE,TRUE,TRUE,TRUE}</definedName>
    <definedName name="caja2" localSheetId="6" hidden="1">{FALSE,FALSE,-1.25,-15.5,484.5,276.75,FALSE,FALSE,TRUE,TRUE,0,12,#N/A,46,#N/A,2.93460490463215,15.35,1,FALSE,FALSE,3,TRUE,1,FALSE,100,"Swvu.PLA1.","ACwvu.PLA1.",#N/A,FALSE,FALSE,0,0,0,0,2,"","",TRUE,TRUE,FALSE,FALSE,1,60,#N/A,#N/A,FALSE,FALSE,FALSE,FALSE,FALSE,FALSE,FALSE,9,65532,65532,FALSE,FALSE,TRUE,TRUE,TRUE}</definedName>
    <definedName name="caja2" localSheetId="7" hidden="1">{FALSE,FALSE,-1.25,-15.5,484.5,276.75,FALSE,FALSE,TRUE,TRUE,0,12,#N/A,46,#N/A,2.93460490463215,15.35,1,FALSE,FALSE,3,TRUE,1,FALSE,100,"Swvu.PLA1.","ACwvu.PLA1.",#N/A,FALSE,FALSE,0,0,0,0,2,"","",TRUE,TRUE,FALSE,FALSE,1,60,#N/A,#N/A,FALSE,FALSE,FALSE,FALSE,FALSE,FALSE,FALSE,9,65532,65532,FALSE,FALSE,TRUE,TRUE,TRUE}</definedName>
    <definedName name="caja2" hidden="1">{FALSE,FALSE,-1.25,-15.5,484.5,276.75,FALSE,FALSE,TRUE,TRUE,0,12,#N/A,46,#N/A,2.93460490463215,15.35,1,FALSE,FALSE,3,TRUE,1,FALSE,100,"Swvu.PLA1.","ACwvu.PLA1.",#N/A,FALSE,FALSE,0,0,0,0,2,"","",TRUE,TRUE,FALSE,FALSE,1,60,#N/A,#N/A,FALSE,FALSE,FALSE,FALSE,FALSE,FALSE,FALSE,9,65532,65532,FALSE,FALSE,TRUE,TRUE,TRUE}</definedName>
    <definedName name="cantidad_prestada">'[2]IPV-BAPRO'!#REF!</definedName>
    <definedName name="Comisiones">#REF!</definedName>
    <definedName name="COMPAR_07_08" localSheetId="3"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6"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0"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1"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4"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7"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2" hidden="1">{FALSE,FALSE,-1.25,-15.5,484.5,276.75,FALSE,FALSE,TRUE,TRUE,0,12,#N/A,46,#N/A,2.93460490463215,15.35,1,FALSE,FALSE,3,TRUE,1,FALSE,100,"Swvu.PLA1.","ACwvu.PLA1.",#N/A,FALSE,FALSE,0,0,0,0,2,"","",TRUE,TRUE,FALSE,FALSE,1,60,#N/A,#N/A,FALSE,FALSE,FALSE,FALSE,FALSE,FALSE,FALSE,9,65532,65532,FALSE,FALSE,TRUE,TRUE,TRUE}</definedName>
    <definedName name="COMPAR_07_08" localSheetId="5" hidden="1">{FALSE,FALSE,-1.25,-15.5,484.5,276.75,FALSE,FALSE,TRUE,TRUE,0,12,#N/A,46,#N/A,2.93460490463215,15.35,1,FALSE,FALSE,3,TRUE,1,FALSE,100,"Swvu.PLA1.","ACwvu.PLA1.",#N/A,FALSE,FALSE,0,0,0,0,2,"","",TRUE,TRUE,FALSE,FALSE,1,60,#N/A,#N/A,FALSE,FALSE,FALSE,FALSE,FALSE,FALSE,FALSE,9,65532,65532,FALSE,FALSE,TRUE,TRUE,TRUE}</definedName>
    <definedName name="COMPAR_07_08" hidden="1">{FALSE,FALSE,-1.25,-15.5,484.5,276.75,FALSE,FALSE,TRUE,TRUE,0,12,#N/A,46,#N/A,2.93460490463215,15.35,1,FALSE,FALSE,3,TRUE,1,FALSE,100,"Swvu.PLA1.","ACwvu.PLA1.",#N/A,FALSE,FALSE,0,0,0,0,2,"","",TRUE,TRUE,FALSE,FALSE,1,60,#N/A,#N/A,FALSE,FALSE,FALSE,FALSE,FALSE,FALSE,FALSE,9,65532,65532,FALSE,FALSE,TRUE,TRUE,TRUE}</definedName>
    <definedName name="COPA">#N/A</definedName>
    <definedName name="COPARTICIPACION_FEDERAL__LEY_N__23548">[1]C!$B$13:$N$13</definedName>
    <definedName name="_xlnm.Criteria">#REF!</definedName>
    <definedName name="Criterios_IM">#REF!</definedName>
    <definedName name="d" localSheetId="3" hidden="1">{FALSE,FALSE,-1.25,-15.5,484.5,276.75,FALSE,FALSE,TRUE,TRUE,0,12,#N/A,46,#N/A,2.93460490463215,15.35,1,FALSE,FALSE,3,TRUE,1,FALSE,100,"Swvu.PLA1.","ACwvu.PLA1.",#N/A,FALSE,FALSE,0,0,0,0,2,"","",TRUE,TRUE,FALSE,FALSE,1,60,#N/A,#N/A,FALSE,FALSE,FALSE,FALSE,FALSE,FALSE,FALSE,9,65532,65532,FALSE,FALSE,TRUE,TRUE,TRUE}</definedName>
    <definedName name="d" localSheetId="6" hidden="1">{FALSE,FALSE,-1.25,-15.5,484.5,276.75,FALSE,FALSE,TRUE,TRUE,0,12,#N/A,46,#N/A,2.93460490463215,15.35,1,FALSE,FALSE,3,TRUE,1,FALSE,100,"Swvu.PLA1.","ACwvu.PLA1.",#N/A,FALSE,FALSE,0,0,0,0,2,"","",TRUE,TRUE,FALSE,FALSE,1,60,#N/A,#N/A,FALSE,FALSE,FALSE,FALSE,FALSE,FALSE,FALSE,9,65532,65532,FALSE,FALSE,TRUE,TRUE,TRUE}</definedName>
    <definedName name="d" localSheetId="0" hidden="1">{FALSE,FALSE,-1.25,-15.5,484.5,276.75,FALSE,FALSE,TRUE,TRUE,0,12,#N/A,46,#N/A,2.93460490463215,15.35,1,FALSE,FALSE,3,TRUE,1,FALSE,100,"Swvu.PLA1.","ACwvu.PLA1.",#N/A,FALSE,FALSE,0,0,0,0,2,"","",TRUE,TRUE,FALSE,FALSE,1,60,#N/A,#N/A,FALSE,FALSE,FALSE,FALSE,FALSE,FALSE,FALSE,9,65532,65532,FALSE,FALSE,TRUE,TRUE,TRUE}</definedName>
    <definedName name="d" localSheetId="1" hidden="1">{FALSE,FALSE,-1.25,-15.5,484.5,276.75,FALSE,FALSE,TRUE,TRUE,0,12,#N/A,46,#N/A,2.93460490463215,15.35,1,FALSE,FALSE,3,TRUE,1,FALSE,100,"Swvu.PLA1.","ACwvu.PLA1.",#N/A,FALSE,FALSE,0,0,0,0,2,"","",TRUE,TRUE,FALSE,FALSE,1,60,#N/A,#N/A,FALSE,FALSE,FALSE,FALSE,FALSE,FALSE,FALSE,9,65532,65532,FALSE,FALSE,TRUE,TRUE,TRUE}</definedName>
    <definedName name="d" localSheetId="4" hidden="1">{FALSE,FALSE,-1.25,-15.5,484.5,276.75,FALSE,FALSE,TRUE,TRUE,0,12,#N/A,46,#N/A,2.93460490463215,15.35,1,FALSE,FALSE,3,TRUE,1,FALSE,100,"Swvu.PLA1.","ACwvu.PLA1.",#N/A,FALSE,FALSE,0,0,0,0,2,"","",TRUE,TRUE,FALSE,FALSE,1,60,#N/A,#N/A,FALSE,FALSE,FALSE,FALSE,FALSE,FALSE,FALSE,9,65532,65532,FALSE,FALSE,TRUE,TRUE,TRUE}</definedName>
    <definedName name="d" localSheetId="7" hidden="1">{FALSE,FALSE,-1.25,-15.5,484.5,276.75,FALSE,FALSE,TRUE,TRUE,0,12,#N/A,46,#N/A,2.93460490463215,15.35,1,FALSE,FALSE,3,TRUE,1,FALSE,100,"Swvu.PLA1.","ACwvu.PLA1.",#N/A,FALSE,FALSE,0,0,0,0,2,"","",TRUE,TRUE,FALSE,FALSE,1,60,#N/A,#N/A,FALSE,FALSE,FALSE,FALSE,FALSE,FALSE,FALSE,9,65532,65532,FALSE,FALSE,TRUE,TRUE,TRUE}</definedName>
    <definedName name="d" localSheetId="2" hidden="1">{FALSE,FALSE,-1.25,-15.5,484.5,276.75,FALSE,FALSE,TRUE,TRUE,0,12,#N/A,46,#N/A,2.93460490463215,15.35,1,FALSE,FALSE,3,TRUE,1,FALSE,100,"Swvu.PLA1.","ACwvu.PLA1.",#N/A,FALSE,FALSE,0,0,0,0,2,"","",TRUE,TRUE,FALSE,FALSE,1,60,#N/A,#N/A,FALSE,FALSE,FALSE,FALSE,FALSE,FALSE,FALSE,9,65532,65532,FALSE,FALSE,TRUE,TRUE,TRUE}</definedName>
    <definedName name="d" localSheetId="5" hidden="1">{FALSE,FALSE,-1.25,-15.5,484.5,276.75,FALSE,FALSE,TRUE,TRUE,0,12,#N/A,46,#N/A,2.93460490463215,15.35,1,FALSE,FALSE,3,TRUE,1,FALSE,100,"Swvu.PLA1.","ACwvu.PLA1.",#N/A,FALSE,FALSE,0,0,0,0,2,"","",TRUE,TRUE,FALSE,FALSE,1,60,#N/A,#N/A,FALSE,FALSE,FALSE,FALSE,FALSE,FALSE,FALSE,9,65532,65532,FALSE,FALSE,TRUE,TRUE,TRUE}</definedName>
    <definedName name="d" hidden="1">{FALSE,FALSE,-1.25,-15.5,484.5,276.75,FALSE,FALSE,TRUE,TRUE,0,12,#N/A,46,#N/A,2.93460490463215,15.35,1,FALSE,FALSE,3,TRUE,1,FALSE,100,"Swvu.PLA1.","ACwvu.PLA1.",#N/A,FALSE,FALSE,0,0,0,0,2,"","",TRUE,TRUE,FALSE,FALSE,1,60,#N/A,#N/A,FALSE,FALSE,FALSE,FALSE,FALSE,FALSE,FALSE,9,65532,65532,FALSE,FALSE,TRUE,TRUE,TRUE}</definedName>
    <definedName name="E">#REF!</definedName>
    <definedName name="EXCEDENTE_DEL_10__SEGUN_EL_TOPE_ASIGNADO_A__BUENOS_AIRES__LEY_N__23621">[1]C!$B$18:$N$18</definedName>
    <definedName name="Extracción_IM">#REF!</definedName>
    <definedName name="Fecha_primer_pago">'[2]IPV-BAPRO'!#REF!</definedName>
    <definedName name="FONDO_COMPENSADOR_DE_DESEQUILIBRIOS_FISCALES_PROVINCIALES">[1]C!$B$15:$N$15</definedName>
    <definedName name="FONDO_EDUCATIVO__LEY_N__23906_ART._3_Y_4">[1]C!$B$16:$N$16</definedName>
    <definedName name="FONDO_ESPECIAL_DE_DESARROLLO_ELECTRICO_DEL_INTERIOR__LEYES_NROS._23966_ART._19_Y_24065">[1]C!$B$26:$N$26</definedName>
    <definedName name="FONDO_NACIONAL_DE_LA_VIVIENDA__LEY_N__23966_ART._18">[1]C!$B$25:$N$25</definedName>
    <definedName name="G">#REF!</definedName>
    <definedName name="H">#REF!</definedName>
    <definedName name="I">#REF!</definedName>
    <definedName name="IMPRIMIR">#REF!</definedName>
    <definedName name="J">#REF!</definedName>
    <definedName name="K">#REF!</definedName>
    <definedName name="L_">#N/A</definedName>
    <definedName name="LL" localSheetId="3" hidden="1">{FALSE,FALSE,-1.25,-15.5,484.5,276.75,FALSE,FALSE,TRUE,TRUE,0,12,#N/A,46,#N/A,2.93460490463215,15.35,1,FALSE,FALSE,3,TRUE,1,FALSE,100,"Swvu.PLA1.","ACwvu.PLA1.",#N/A,FALSE,FALSE,0,0,0,0,2,"","",TRUE,TRUE,FALSE,FALSE,1,60,#N/A,#N/A,FALSE,FALSE,FALSE,FALSE,FALSE,FALSE,FALSE,9,65532,65532,FALSE,FALSE,TRUE,TRUE,TRUE}</definedName>
    <definedName name="LL" localSheetId="6" hidden="1">{FALSE,FALSE,-1.25,-15.5,484.5,276.75,FALSE,FALSE,TRUE,TRUE,0,12,#N/A,46,#N/A,2.93460490463215,15.35,1,FALSE,FALSE,3,TRUE,1,FALSE,100,"Swvu.PLA1.","ACwvu.PLA1.",#N/A,FALSE,FALSE,0,0,0,0,2,"","",TRUE,TRUE,FALSE,FALSE,1,60,#N/A,#N/A,FALSE,FALSE,FALSE,FALSE,FALSE,FALSE,FALSE,9,65532,65532,FALSE,FALSE,TRUE,TRUE,TRUE}</definedName>
    <definedName name="LL" localSheetId="0" hidden="1">{FALSE,FALSE,-1.25,-15.5,484.5,276.75,FALSE,FALSE,TRUE,TRUE,0,12,#N/A,46,#N/A,2.93460490463215,15.35,1,FALSE,FALSE,3,TRUE,1,FALSE,100,"Swvu.PLA1.","ACwvu.PLA1.",#N/A,FALSE,FALSE,0,0,0,0,2,"","",TRUE,TRUE,FALSE,FALSE,1,60,#N/A,#N/A,FALSE,FALSE,FALSE,FALSE,FALSE,FALSE,FALSE,9,65532,65532,FALSE,FALSE,TRUE,TRUE,TRUE}</definedName>
    <definedName name="LL" localSheetId="1" hidden="1">{FALSE,FALSE,-1.25,-15.5,484.5,276.75,FALSE,FALSE,TRUE,TRUE,0,12,#N/A,46,#N/A,2.93460490463215,15.35,1,FALSE,FALSE,3,TRUE,1,FALSE,100,"Swvu.PLA1.","ACwvu.PLA1.",#N/A,FALSE,FALSE,0,0,0,0,2,"","",TRUE,TRUE,FALSE,FALSE,1,60,#N/A,#N/A,FALSE,FALSE,FALSE,FALSE,FALSE,FALSE,FALSE,9,65532,65532,FALSE,FALSE,TRUE,TRUE,TRUE}</definedName>
    <definedName name="LL" localSheetId="4" hidden="1">{FALSE,FALSE,-1.25,-15.5,484.5,276.75,FALSE,FALSE,TRUE,TRUE,0,12,#N/A,46,#N/A,2.93460490463215,15.35,1,FALSE,FALSE,3,TRUE,1,FALSE,100,"Swvu.PLA1.","ACwvu.PLA1.",#N/A,FALSE,FALSE,0,0,0,0,2,"","",TRUE,TRUE,FALSE,FALSE,1,60,#N/A,#N/A,FALSE,FALSE,FALSE,FALSE,FALSE,FALSE,FALSE,9,65532,65532,FALSE,FALSE,TRUE,TRUE,TRUE}</definedName>
    <definedName name="LL" localSheetId="7" hidden="1">{FALSE,FALSE,-1.25,-15.5,484.5,276.75,FALSE,FALSE,TRUE,TRUE,0,12,#N/A,46,#N/A,2.93460490463215,15.35,1,FALSE,FALSE,3,TRUE,1,FALSE,100,"Swvu.PLA1.","ACwvu.PLA1.",#N/A,FALSE,FALSE,0,0,0,0,2,"","",TRUE,TRUE,FALSE,FALSE,1,60,#N/A,#N/A,FALSE,FALSE,FALSE,FALSE,FALSE,FALSE,FALSE,9,65532,65532,FALSE,FALSE,TRUE,TRUE,TRUE}</definedName>
    <definedName name="LL" localSheetId="2" hidden="1">{FALSE,FALSE,-1.25,-15.5,484.5,276.75,FALSE,FALSE,TRUE,TRUE,0,12,#N/A,46,#N/A,2.93460490463215,15.35,1,FALSE,FALSE,3,TRUE,1,FALSE,100,"Swvu.PLA1.","ACwvu.PLA1.",#N/A,FALSE,FALSE,0,0,0,0,2,"","",TRUE,TRUE,FALSE,FALSE,1,60,#N/A,#N/A,FALSE,FALSE,FALSE,FALSE,FALSE,FALSE,FALSE,9,65532,65532,FALSE,FALSE,TRUE,TRUE,TRUE}</definedName>
    <definedName name="LL" localSheetId="5" hidden="1">{FALSE,FALSE,-1.25,-15.5,484.5,276.75,FALSE,FALSE,TRUE,TRUE,0,12,#N/A,46,#N/A,2.93460490463215,15.35,1,FALSE,FALSE,3,TRUE,1,FALSE,100,"Swvu.PLA1.","ACwvu.PLA1.",#N/A,FALSE,FALSE,0,0,0,0,2,"","",TRUE,TRUE,FALSE,FALSE,1,60,#N/A,#N/A,FALSE,FALSE,FALSE,FALSE,FALSE,FALSE,FALSE,9,65532,65532,FALSE,FALSE,TRUE,TRUE,TRUE}</definedName>
    <definedName name="LL" hidden="1">{FALSE,FALSE,-1.25,-15.5,484.5,276.75,FALSE,FALSE,TRUE,TRUE,0,12,#N/A,46,#N/A,2.93460490463215,15.35,1,FALSE,FALSE,3,TRUE,1,FALSE,100,"Swvu.PLA1.","ACwvu.PLA1.",#N/A,FALSE,FALSE,0,0,0,0,2,"","",TRUE,TRUE,FALSE,FALSE,1,60,#N/A,#N/A,FALSE,FALSE,FALSE,FALSE,FALSE,FALSE,FALSE,9,65532,65532,FALSE,FALSE,TRUE,TRUE,TRUE}</definedName>
    <definedName name="M">#REF!</definedName>
    <definedName name="N">#REF!</definedName>
    <definedName name="O">#N/A</definedName>
    <definedName name="OBRAS_DE_INFRAESTRUCTURA__LEY_N__23966_ART._19">[1]C!$B$23:$N$23</definedName>
    <definedName name="OBRAS_DE_INFRAESTRUCTURA_BASICA_SOCIAL_Y_NECESIDADES_BASICAS_INSATISFECHAS__LEY_N__23621">[1]C!$B$17:$N$17</definedName>
    <definedName name="ORGANISMOS_DE_VIALIDAD__LEY_N__23966_ART._19">[1]C!$B$24:$N$24</definedName>
    <definedName name="P">#REF!</definedName>
    <definedName name="pagos_por_año">'[2]IPV-BAPRO'!#REF!</definedName>
    <definedName name="Plazo_en_años">'[2]IPV-BAPRO'!#REF!</definedName>
    <definedName name="prueba">#REF!</definedName>
    <definedName name="Q">#REF!</definedName>
    <definedName name="Rwvu.PLA2." hidden="1">'[1]COP FED'!#REF!</definedName>
    <definedName name="S">#REF!</definedName>
    <definedName name="SEGURIDAD_SOCIAL___BS._PERS._NO_INCORP._AL_PROCESO_ECONOMICO__LEY_N__23966__ART._30">[1]C!$B$22:$N$22</definedName>
    <definedName name="SEGURIDAD_SOCIAL___IVA__LEY_N__23966_ART._5_PTO._2">[1]C!$B$21:$N$21</definedName>
    <definedName name="SUMA_FIJA_FINANCIADA_CON__LA_COPARTICIPACION_FEDERAL_DE_NACION__LEY_N__23621_ART._1">[1]C!$B$19:$N$19</definedName>
    <definedName name="Swvu.PLA1." hidden="1">'[1]COP FED'!#REF!</definedName>
    <definedName name="Swvu.PLA2." hidden="1">'[1]COP FED'!$A$1:$N$49</definedName>
    <definedName name="T">#REF!</definedName>
    <definedName name="tasa_interes_anual">'[2]IPV-BAPRO'!#REF!</definedName>
    <definedName name="_xlnm.Print_Titles">'[1]Fto. a partir del impuesto'!$A$1:$A$65536</definedName>
    <definedName name="TOTAL">[1]C!$B$32:$N$32</definedName>
    <definedName name="TRANSFERENCIA_DE_SERVICIOS__LEY_N__24049_Y_COMPLEMENTARIAS">[1]C!$B$14:$N$14</definedName>
    <definedName name="U">#REF!</definedName>
    <definedName name="V">#REF!</definedName>
    <definedName name="W">#REF!</definedName>
    <definedName name="wvu.PLA1." localSheetId="3" hidden="1">{FALSE,FALSE,-1.25,-15.5,484.5,276.75,FALSE,FALSE,TRUE,TRUE,0,12,#N/A,46,#N/A,2.93460490463215,15.35,1,FALSE,FALSE,3,TRUE,1,FALSE,100,"Swvu.PLA1.","ACwvu.PLA1.",#N/A,FALSE,FALSE,0,0,0,0,2,"","",TRUE,TRUE,FALSE,FALSE,1,60,#N/A,#N/A,FALSE,FALSE,FALSE,FALSE,FALSE,FALSE,FALSE,9,65532,65532,FALSE,FALSE,TRUE,TRUE,TRUE}</definedName>
    <definedName name="wvu.PLA1." localSheetId="6" hidden="1">{FALSE,FALSE,-1.25,-15.5,484.5,276.75,FALSE,FALSE,TRUE,TRUE,0,12,#N/A,46,#N/A,2.93460490463215,15.35,1,FALSE,FALSE,3,TRUE,1,FALSE,100,"Swvu.PLA1.","ACwvu.PLA1.",#N/A,FALSE,FALSE,0,0,0,0,2,"","",TRUE,TRUE,FALSE,FALSE,1,60,#N/A,#N/A,FALSE,FALSE,FALSE,FALSE,FALSE,FALSE,FALSE,9,65532,65532,FALSE,FALSE,TRUE,TRUE,TRUE}</definedName>
    <definedName name="wvu.PLA1." localSheetId="0"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 hidden="1">{FALSE,FALSE,-1.25,-15.5,484.5,276.75,FALSE,FALSE,TRUE,TRUE,0,12,#N/A,46,#N/A,2.93460490463215,15.35,1,FALSE,FALSE,3,TRUE,1,FALSE,100,"Swvu.PLA1.","ACwvu.PLA1.",#N/A,FALSE,FALSE,0,0,0,0,2,"","",TRUE,TRUE,FALSE,FALSE,1,60,#N/A,#N/A,FALSE,FALSE,FALSE,FALSE,FALSE,FALSE,FALSE,9,65532,65532,FALSE,FALSE,TRUE,TRUE,TRUE}</definedName>
    <definedName name="wvu.PLA1." localSheetId="4" hidden="1">{FALSE,FALSE,-1.25,-15.5,484.5,276.75,FALSE,FALSE,TRUE,TRUE,0,12,#N/A,46,#N/A,2.93460490463215,15.35,1,FALSE,FALSE,3,TRUE,1,FALSE,100,"Swvu.PLA1.","ACwvu.PLA1.",#N/A,FALSE,FALSE,0,0,0,0,2,"","",TRUE,TRUE,FALSE,FALSE,1,60,#N/A,#N/A,FALSE,FALSE,FALSE,FALSE,FALSE,FALSE,FALSE,9,65532,65532,FALSE,FALSE,TRUE,TRUE,TRUE}</definedName>
    <definedName name="wvu.PLA1." localSheetId="7" hidden="1">{FALSE,FALSE,-1.25,-15.5,484.5,276.75,FALSE,FALSE,TRUE,TRUE,0,12,#N/A,46,#N/A,2.93460490463215,15.35,1,FALSE,FALSE,3,TRUE,1,FALSE,100,"Swvu.PLA1.","ACwvu.PLA1.",#N/A,FALSE,FALSE,0,0,0,0,2,"","",TRUE,TRUE,FALSE,FALSE,1,60,#N/A,#N/A,FALSE,FALSE,FALSE,FALSE,FALSE,FALSE,FALSE,9,65532,65532,FALSE,FALSE,TRUE,TRUE,TRUE}</definedName>
    <definedName name="wvu.PLA1." localSheetId="2" hidden="1">{FALSE,FALSE,-1.25,-15.5,484.5,276.75,FALSE,FALSE,TRUE,TRUE,0,12,#N/A,46,#N/A,2.93460490463215,15.35,1,FALSE,FALSE,3,TRUE,1,FALSE,100,"Swvu.PLA1.","ACwvu.PLA1.",#N/A,FALSE,FALSE,0,0,0,0,2,"","",TRUE,TRUE,FALSE,FALSE,1,60,#N/A,#N/A,FALSE,FALSE,FALSE,FALSE,FALSE,FALSE,FALSE,9,65532,65532,FALSE,FALSE,TRUE,TRUE,TRUE}</definedName>
    <definedName name="wvu.PLA1." localSheetId="5" hidden="1">{FALSE,FALSE,-1.25,-15.5,484.5,276.75,FALSE,FALSE,TRUE,TRUE,0,12,#N/A,46,#N/A,2.93460490463215,15.35,1,FALSE,FALSE,3,TRUE,1,FALSE,100,"Swvu.PLA1.","ACwvu.PLA1.",#N/A,FALSE,FALSE,0,0,0,0,2,"","",TRUE,TRUE,FALSE,FALSE,1,60,#N/A,#N/A,FALSE,FALSE,FALSE,FALSE,FALSE,FALSE,FALSE,9,65532,65532,FALSE,FALSE,TRUE,TRUE,TRUE}</definedName>
    <definedName name="wvu.PLA1." hidden="1">{FALSE,FALSE,-1.25,-15.5,484.5,276.75,FALSE,FALSE,TRUE,TRUE,0,12,#N/A,46,#N/A,2.93460490463215,15.35,1,FALSE,FALSE,3,TRUE,1,FALSE,100,"Swvu.PLA1.","ACwvu.PLA1.",#N/A,FALSE,FALSE,0,0,0,0,2,"","",TRUE,TRUE,FALSE,FALSE,1,60,#N/A,#N/A,FALSE,FALSE,FALSE,FALSE,FALSE,FALSE,FALSE,9,65532,65532,FALSE,FALSE,TRUE,TRUE,TRUE}</definedName>
    <definedName name="wvu.PLA2." localSheetId="3" hidden="1">{TRUE,TRUE,-1.25,-15.5,484.5,276.75,FALSE,FALSE,TRUE,TRUE,0,15,#N/A,56,#N/A,4.88636363636364,15.35,1,FALSE,FALSE,3,TRUE,1,FALSE,100,"Swvu.PLA2.","ACwvu.PLA2.",#N/A,FALSE,FALSE,0,0,0,0,2,"","",TRUE,TRUE,FALSE,FALSE,1,60,#N/A,#N/A,FALSE,FALSE,"Rwvu.PLA2.",#N/A,FALSE,FALSE,FALSE,9,65532,65532,FALSE,FALSE,TRUE,TRUE,TRUE}</definedName>
    <definedName name="wvu.PLA2." localSheetId="6" hidden="1">{TRUE,TRUE,-1.25,-15.5,484.5,276.75,FALSE,FALSE,TRUE,TRUE,0,15,#N/A,56,#N/A,4.88636363636364,15.35,1,FALSE,FALSE,3,TRUE,1,FALSE,100,"Swvu.PLA2.","ACwvu.PLA2.",#N/A,FALSE,FALSE,0,0,0,0,2,"","",TRUE,TRUE,FALSE,FALSE,1,60,#N/A,#N/A,FALSE,FALSE,"Rwvu.PLA2.",#N/A,FALSE,FALSE,FALSE,9,65532,65532,FALSE,FALSE,TRUE,TRUE,TRUE}</definedName>
    <definedName name="wvu.PLA2." localSheetId="0" hidden="1">{TRUE,TRUE,-1.25,-15.5,484.5,276.75,FALSE,FALSE,TRUE,TRUE,0,15,#N/A,56,#N/A,4.88636363636364,15.35,1,FALSE,FALSE,3,TRUE,1,FALSE,100,"Swvu.PLA2.","ACwvu.PLA2.",#N/A,FALSE,FALSE,0,0,0,0,2,"","",TRUE,TRUE,FALSE,FALSE,1,60,#N/A,#N/A,FALSE,FALSE,"Rwvu.PLA2.",#N/A,FALSE,FALSE,FALSE,9,65532,65532,FALSE,FALSE,TRUE,TRUE,TRUE}</definedName>
    <definedName name="wvu.PLA2." localSheetId="1" hidden="1">{TRUE,TRUE,-1.25,-15.5,484.5,276.75,FALSE,FALSE,TRUE,TRUE,0,15,#N/A,56,#N/A,4.88636363636364,15.35,1,FALSE,FALSE,3,TRUE,1,FALSE,100,"Swvu.PLA2.","ACwvu.PLA2.",#N/A,FALSE,FALSE,0,0,0,0,2,"","",TRUE,TRUE,FALSE,FALSE,1,60,#N/A,#N/A,FALSE,FALSE,"Rwvu.PLA2.",#N/A,FALSE,FALSE,FALSE,9,65532,65532,FALSE,FALSE,TRUE,TRUE,TRUE}</definedName>
    <definedName name="wvu.PLA2." localSheetId="4" hidden="1">{TRUE,TRUE,-1.25,-15.5,484.5,276.75,FALSE,FALSE,TRUE,TRUE,0,15,#N/A,56,#N/A,4.88636363636364,15.35,1,FALSE,FALSE,3,TRUE,1,FALSE,100,"Swvu.PLA2.","ACwvu.PLA2.",#N/A,FALSE,FALSE,0,0,0,0,2,"","",TRUE,TRUE,FALSE,FALSE,1,60,#N/A,#N/A,FALSE,FALSE,"Rwvu.PLA2.",#N/A,FALSE,FALSE,FALSE,9,65532,65532,FALSE,FALSE,TRUE,TRUE,TRUE}</definedName>
    <definedName name="wvu.PLA2." localSheetId="7" hidden="1">{TRUE,TRUE,-1.25,-15.5,484.5,276.75,FALSE,FALSE,TRUE,TRUE,0,15,#N/A,56,#N/A,4.88636363636364,15.35,1,FALSE,FALSE,3,TRUE,1,FALSE,100,"Swvu.PLA2.","ACwvu.PLA2.",#N/A,FALSE,FALSE,0,0,0,0,2,"","",TRUE,TRUE,FALSE,FALSE,1,60,#N/A,#N/A,FALSE,FALSE,"Rwvu.PLA2.",#N/A,FALSE,FALSE,FALSE,9,65532,65532,FALSE,FALSE,TRUE,TRUE,TRUE}</definedName>
    <definedName name="wvu.PLA2." localSheetId="2" hidden="1">{TRUE,TRUE,-1.25,-15.5,484.5,276.75,FALSE,FALSE,TRUE,TRUE,0,15,#N/A,56,#N/A,4.88636363636364,15.35,1,FALSE,FALSE,3,TRUE,1,FALSE,100,"Swvu.PLA2.","ACwvu.PLA2.",#N/A,FALSE,FALSE,0,0,0,0,2,"","",TRUE,TRUE,FALSE,FALSE,1,60,#N/A,#N/A,FALSE,FALSE,"Rwvu.PLA2.",#N/A,FALSE,FALSE,FALSE,9,65532,65532,FALSE,FALSE,TRUE,TRUE,TRUE}</definedName>
    <definedName name="wvu.PLA2." localSheetId="5" hidden="1">{TRUE,TRUE,-1.25,-15.5,484.5,276.75,FALSE,FALSE,TRUE,TRUE,0,15,#N/A,56,#N/A,4.88636363636364,15.35,1,FALSE,FALSE,3,TRUE,1,FALSE,100,"Swvu.PLA2.","ACwvu.PLA2.",#N/A,FALSE,FALSE,0,0,0,0,2,"","",TRUE,TRUE,FALSE,FALSE,1,60,#N/A,#N/A,FALSE,FALSE,"Rwvu.PLA2.",#N/A,FALSE,FALSE,FALSE,9,65532,65532,FALSE,FALSE,TRUE,TRUE,TRUE}</definedName>
    <definedName name="wvu.PLA2." hidden="1">{TRUE,TRUE,-1.25,-15.5,484.5,276.75,FALSE,FALSE,TRUE,TRUE,0,15,#N/A,56,#N/A,4.88636363636364,15.35,1,FALSE,FALSE,3,TRUE,1,FALSE,100,"Swvu.PLA2.","ACwvu.PLA2.",#N/A,FALSE,FALSE,0,0,0,0,2,"","",TRUE,TRUE,FALSE,FALSE,1,60,#N/A,#N/A,FALSE,FALSE,"Rwvu.PLA2.",#N/A,FALSE,FALSE,FALSE,9,65532,65532,FALSE,FALSE,TRUE,TRUE,TRUE}</definedName>
    <definedName name="X">#REF!</definedName>
    <definedName name="Y">#REF!</definedName>
    <definedName name="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 i="6" l="1"/>
  <c r="N1" i="5"/>
  <c r="N1" i="4"/>
  <c r="N1" i="3"/>
  <c r="N1" i="2"/>
  <c r="O1" i="2"/>
  <c r="O9" i="2" l="1"/>
  <c r="O9" i="4"/>
  <c r="O11" i="1"/>
  <c r="O8" i="2"/>
  <c r="O8" i="4"/>
  <c r="O9" i="3"/>
  <c r="O23" i="1"/>
  <c r="O9" i="5"/>
  <c r="O8" i="5"/>
  <c r="O8" i="3"/>
  <c r="O19" i="1"/>
  <c r="O27" i="1"/>
  <c r="O20" i="1"/>
  <c r="O13" i="1"/>
  <c r="O28" i="1"/>
  <c r="O22" i="1"/>
  <c r="O10" i="1"/>
  <c r="O31" i="1"/>
  <c r="O25" i="1"/>
  <c r="O12" i="1"/>
  <c r="O24" i="1"/>
  <c r="O26" i="1"/>
  <c r="O14" i="1"/>
  <c r="O30" i="1"/>
  <c r="O15" i="1"/>
  <c r="O16" i="1"/>
  <c r="O21" i="1"/>
  <c r="O17" i="1"/>
  <c r="O18" i="1"/>
  <c r="O29" i="1"/>
  <c r="O8" i="1"/>
  <c r="O9" i="1"/>
  <c r="O1" i="6"/>
  <c r="O1" i="5"/>
  <c r="O1" i="4"/>
  <c r="O1" i="3"/>
  <c r="B3" i="6"/>
  <c r="B3" i="5"/>
  <c r="B3" i="2"/>
  <c r="B3" i="3"/>
  <c r="B3" i="4"/>
  <c r="G20" i="6" l="1"/>
  <c r="N20" i="6" l="1"/>
  <c r="D20" i="6"/>
  <c r="M20" i="6"/>
  <c r="L20" i="6"/>
  <c r="F20" i="6"/>
  <c r="K20" i="6"/>
  <c r="E20" i="6"/>
  <c r="J20" i="6"/>
  <c r="C20" i="6"/>
  <c r="I20" i="6"/>
  <c r="H20" i="6"/>
  <c r="N30" i="6" l="1"/>
  <c r="M30" i="6"/>
  <c r="L30" i="6"/>
  <c r="K30" i="6"/>
  <c r="J30" i="6"/>
  <c r="I30" i="6"/>
  <c r="H30" i="6"/>
  <c r="G30" i="6"/>
  <c r="F30" i="6"/>
  <c r="E30" i="6"/>
  <c r="D30" i="6"/>
  <c r="N29" i="6"/>
  <c r="M29" i="6"/>
  <c r="L29" i="6"/>
  <c r="K29" i="6"/>
  <c r="J29" i="6"/>
  <c r="I29" i="6"/>
  <c r="H29" i="6"/>
  <c r="G29" i="6"/>
  <c r="F29" i="6"/>
  <c r="E29" i="6"/>
  <c r="D29" i="6"/>
  <c r="N28" i="6"/>
  <c r="M28" i="6"/>
  <c r="L28" i="6"/>
  <c r="K28" i="6"/>
  <c r="J28" i="6"/>
  <c r="I28" i="6"/>
  <c r="H28" i="6"/>
  <c r="G28" i="6"/>
  <c r="F28" i="6"/>
  <c r="E28" i="6"/>
  <c r="D28" i="6"/>
  <c r="N27" i="6"/>
  <c r="M27" i="6"/>
  <c r="L27" i="6"/>
  <c r="K27" i="6"/>
  <c r="J27" i="6"/>
  <c r="I27" i="6"/>
  <c r="H27" i="6"/>
  <c r="G27" i="6"/>
  <c r="F27" i="6"/>
  <c r="E27" i="6"/>
  <c r="D27" i="6"/>
  <c r="N26" i="6"/>
  <c r="M26" i="6"/>
  <c r="L26" i="6"/>
  <c r="K26" i="6"/>
  <c r="J26" i="6"/>
  <c r="I26" i="6"/>
  <c r="H26" i="6"/>
  <c r="G26" i="6"/>
  <c r="F26" i="6"/>
  <c r="E26" i="6"/>
  <c r="D26" i="6"/>
  <c r="N25" i="6"/>
  <c r="M25" i="6"/>
  <c r="L25" i="6"/>
  <c r="K25" i="6"/>
  <c r="J25" i="6"/>
  <c r="I25" i="6"/>
  <c r="H25" i="6"/>
  <c r="G25" i="6"/>
  <c r="F25" i="6"/>
  <c r="E25" i="6"/>
  <c r="D25" i="6"/>
  <c r="N24" i="6"/>
  <c r="M24" i="6"/>
  <c r="L24" i="6"/>
  <c r="K24" i="6"/>
  <c r="J24" i="6"/>
  <c r="I24" i="6"/>
  <c r="H24" i="6"/>
  <c r="G24" i="6"/>
  <c r="F24" i="6"/>
  <c r="E24" i="6"/>
  <c r="D24" i="6"/>
  <c r="N23" i="6"/>
  <c r="M23" i="6"/>
  <c r="L23" i="6"/>
  <c r="K23" i="6"/>
  <c r="J23" i="6"/>
  <c r="I23" i="6"/>
  <c r="H23" i="6"/>
  <c r="G23" i="6"/>
  <c r="F23" i="6"/>
  <c r="E23" i="6"/>
  <c r="D23" i="6"/>
  <c r="N22" i="6"/>
  <c r="M22" i="6"/>
  <c r="L22" i="6"/>
  <c r="K22" i="6"/>
  <c r="J22" i="6"/>
  <c r="I22" i="6"/>
  <c r="H22" i="6"/>
  <c r="G22" i="6"/>
  <c r="F22" i="6"/>
  <c r="E22" i="6"/>
  <c r="D22" i="6"/>
  <c r="N21" i="6"/>
  <c r="M21" i="6"/>
  <c r="L21" i="6"/>
  <c r="K21" i="6"/>
  <c r="J21" i="6"/>
  <c r="I21" i="6"/>
  <c r="H21" i="6"/>
  <c r="G21" i="6"/>
  <c r="F21" i="6"/>
  <c r="E21" i="6"/>
  <c r="D21" i="6"/>
  <c r="N19" i="6"/>
  <c r="M19" i="6"/>
  <c r="L19" i="6"/>
  <c r="K19" i="6"/>
  <c r="J19" i="6"/>
  <c r="I19" i="6"/>
  <c r="H19" i="6"/>
  <c r="G19" i="6"/>
  <c r="F19" i="6"/>
  <c r="E19" i="6"/>
  <c r="D19" i="6"/>
  <c r="N18" i="6"/>
  <c r="M18" i="6"/>
  <c r="L18" i="6"/>
  <c r="K18" i="6"/>
  <c r="J18" i="6"/>
  <c r="I18" i="6"/>
  <c r="H18" i="6"/>
  <c r="G18" i="6"/>
  <c r="F18" i="6"/>
  <c r="E18" i="6"/>
  <c r="D18" i="6"/>
  <c r="N17" i="6"/>
  <c r="M17" i="6"/>
  <c r="L17" i="6"/>
  <c r="K17" i="6"/>
  <c r="J17" i="6"/>
  <c r="I17" i="6"/>
  <c r="H17" i="6"/>
  <c r="G17" i="6"/>
  <c r="F17" i="6"/>
  <c r="E17" i="6"/>
  <c r="D17" i="6"/>
  <c r="N16" i="6"/>
  <c r="M16" i="6"/>
  <c r="L16" i="6"/>
  <c r="K16" i="6"/>
  <c r="J16" i="6"/>
  <c r="I16" i="6"/>
  <c r="H16" i="6"/>
  <c r="G16" i="6"/>
  <c r="F16" i="6"/>
  <c r="E16" i="6"/>
  <c r="D16" i="6"/>
  <c r="N15" i="6"/>
  <c r="M15" i="6"/>
  <c r="L15" i="6"/>
  <c r="K15" i="6"/>
  <c r="J15" i="6"/>
  <c r="I15" i="6"/>
  <c r="H15" i="6"/>
  <c r="G15" i="6"/>
  <c r="F15" i="6"/>
  <c r="E15" i="6"/>
  <c r="D15" i="6"/>
  <c r="N14" i="6"/>
  <c r="M14" i="6"/>
  <c r="L14" i="6"/>
  <c r="K14" i="6"/>
  <c r="J14" i="6"/>
  <c r="I14" i="6"/>
  <c r="H14" i="6"/>
  <c r="G14" i="6"/>
  <c r="F14" i="6"/>
  <c r="E14" i="6"/>
  <c r="D14" i="6"/>
  <c r="N13" i="6"/>
  <c r="M13" i="6"/>
  <c r="L13" i="6"/>
  <c r="K13" i="6"/>
  <c r="J13" i="6"/>
  <c r="I13" i="6"/>
  <c r="H13" i="6"/>
  <c r="G13" i="6"/>
  <c r="F13" i="6"/>
  <c r="E13" i="6"/>
  <c r="D13" i="6"/>
  <c r="N12" i="6"/>
  <c r="M12" i="6"/>
  <c r="L12" i="6"/>
  <c r="K12" i="6"/>
  <c r="J12" i="6"/>
  <c r="I12" i="6"/>
  <c r="H12" i="6"/>
  <c r="G12" i="6"/>
  <c r="F12" i="6"/>
  <c r="E12" i="6"/>
  <c r="D12" i="6"/>
  <c r="N11" i="6"/>
  <c r="M11" i="6"/>
  <c r="L11" i="6"/>
  <c r="K11" i="6"/>
  <c r="J11" i="6"/>
  <c r="I11" i="6"/>
  <c r="H11" i="6"/>
  <c r="G11" i="6"/>
  <c r="F11" i="6"/>
  <c r="E11" i="6"/>
  <c r="D11" i="6"/>
  <c r="N8" i="6"/>
  <c r="M8" i="6"/>
  <c r="L8" i="6"/>
  <c r="K8" i="6"/>
  <c r="J8" i="6"/>
  <c r="I8" i="6"/>
  <c r="H8" i="6"/>
  <c r="G8" i="6"/>
  <c r="F8" i="6"/>
  <c r="E8" i="6"/>
  <c r="D8" i="6"/>
  <c r="O31" i="5"/>
  <c r="O30" i="5"/>
  <c r="O29" i="5"/>
  <c r="O28" i="5"/>
  <c r="O27" i="5"/>
  <c r="O26" i="5"/>
  <c r="O25" i="5"/>
  <c r="O24" i="5"/>
  <c r="O23" i="5"/>
  <c r="O22" i="5"/>
  <c r="O21" i="5"/>
  <c r="O20" i="5"/>
  <c r="O19" i="5"/>
  <c r="O18" i="5"/>
  <c r="O17" i="5"/>
  <c r="O16" i="5"/>
  <c r="O15" i="5"/>
  <c r="O14" i="5"/>
  <c r="O13" i="5"/>
  <c r="O12" i="5"/>
  <c r="O11" i="5"/>
  <c r="O31" i="4"/>
  <c r="O30" i="4"/>
  <c r="O29" i="4"/>
  <c r="O28" i="4"/>
  <c r="O27" i="4"/>
  <c r="O26" i="4"/>
  <c r="O25" i="4"/>
  <c r="O24" i="4"/>
  <c r="O23" i="4"/>
  <c r="O22" i="4"/>
  <c r="O21" i="4"/>
  <c r="O20" i="4"/>
  <c r="O19" i="4"/>
  <c r="O18" i="4"/>
  <c r="O17" i="4"/>
  <c r="O16" i="4"/>
  <c r="O15" i="4"/>
  <c r="O14" i="4"/>
  <c r="O13" i="4"/>
  <c r="O12" i="4"/>
  <c r="O11" i="4"/>
  <c r="O31" i="3"/>
  <c r="O30" i="3"/>
  <c r="O29" i="3"/>
  <c r="O28" i="3"/>
  <c r="O27" i="3"/>
  <c r="O26" i="3"/>
  <c r="O25" i="3"/>
  <c r="O24" i="3"/>
  <c r="O23" i="3"/>
  <c r="O22" i="3"/>
  <c r="O21" i="3"/>
  <c r="O20" i="3"/>
  <c r="O19" i="3"/>
  <c r="O18" i="3"/>
  <c r="O17" i="3"/>
  <c r="O16" i="3"/>
  <c r="O15" i="3"/>
  <c r="O14" i="3"/>
  <c r="O13" i="3"/>
  <c r="O12" i="3"/>
  <c r="O11" i="3"/>
  <c r="O31" i="2"/>
  <c r="O30" i="2"/>
  <c r="O29" i="2"/>
  <c r="O28" i="2"/>
  <c r="O27" i="2"/>
  <c r="O26" i="2"/>
  <c r="O25" i="2"/>
  <c r="O24" i="2"/>
  <c r="O23" i="2"/>
  <c r="O22" i="2"/>
  <c r="O21" i="2"/>
  <c r="O20" i="2"/>
  <c r="O19" i="2"/>
  <c r="O18" i="2"/>
  <c r="O17" i="2"/>
  <c r="O16" i="2"/>
  <c r="O15" i="2"/>
  <c r="O14" i="2"/>
  <c r="O13" i="2"/>
  <c r="O12" i="2"/>
  <c r="O11" i="2"/>
  <c r="C29" i="6"/>
  <c r="C28" i="6"/>
  <c r="C25" i="6"/>
  <c r="C21" i="6"/>
  <c r="C16" i="6"/>
  <c r="C12" i="6"/>
  <c r="C8" i="6"/>
  <c r="O16" i="6" l="1"/>
  <c r="O21" i="6"/>
  <c r="O25" i="6"/>
  <c r="O29" i="6"/>
  <c r="O12" i="6"/>
  <c r="O28" i="6"/>
  <c r="O20" i="6"/>
  <c r="C24" i="6"/>
  <c r="O24" i="6" s="1"/>
  <c r="C17" i="6"/>
  <c r="O17" i="6" s="1"/>
  <c r="C13" i="6"/>
  <c r="O13" i="6" s="1"/>
  <c r="O8" i="6"/>
  <c r="C14" i="6"/>
  <c r="O14" i="6" s="1"/>
  <c r="C18" i="6"/>
  <c r="O18" i="6" s="1"/>
  <c r="C22" i="6"/>
  <c r="O22" i="6" s="1"/>
  <c r="C26" i="6"/>
  <c r="O26" i="6" s="1"/>
  <c r="C30" i="6"/>
  <c r="O30" i="6" s="1"/>
  <c r="C11" i="6"/>
  <c r="O11" i="6" s="1"/>
  <c r="C15" i="6"/>
  <c r="O15" i="6" s="1"/>
  <c r="C19" i="6"/>
  <c r="O19" i="6" s="1"/>
  <c r="C23" i="6"/>
  <c r="O23" i="6" s="1"/>
  <c r="C27" i="6"/>
  <c r="O27" i="6" s="1"/>
  <c r="H32" i="2" l="1"/>
  <c r="M10" i="6"/>
  <c r="G32" i="1"/>
  <c r="N32" i="4"/>
  <c r="E32" i="5"/>
  <c r="G32" i="5"/>
  <c r="C32" i="5"/>
  <c r="H10" i="6"/>
  <c r="K32" i="3"/>
  <c r="H32" i="5"/>
  <c r="F32" i="4"/>
  <c r="H32" i="4"/>
  <c r="F10" i="6"/>
  <c r="M9" i="6"/>
  <c r="M32" i="1"/>
  <c r="I32" i="3"/>
  <c r="L32" i="3"/>
  <c r="I32" i="5"/>
  <c r="G32" i="4"/>
  <c r="I32" i="4"/>
  <c r="F32" i="1"/>
  <c r="M32" i="4"/>
  <c r="D32" i="5"/>
  <c r="F32" i="5"/>
  <c r="C32" i="2"/>
  <c r="M32" i="3"/>
  <c r="C32" i="1"/>
  <c r="L9" i="6"/>
  <c r="K32" i="4"/>
  <c r="H32" i="1"/>
  <c r="D32" i="3"/>
  <c r="K32" i="1"/>
  <c r="G10" i="6"/>
  <c r="N32" i="1"/>
  <c r="J32" i="3"/>
  <c r="N32" i="3"/>
  <c r="O10" i="5"/>
  <c r="O32" i="5" s="1"/>
  <c r="E10" i="6"/>
  <c r="J32" i="2"/>
  <c r="J32" i="4"/>
  <c r="L32" i="5"/>
  <c r="L32" i="4"/>
  <c r="F32" i="2"/>
  <c r="M32" i="5"/>
  <c r="K32" i="2"/>
  <c r="D32" i="1"/>
  <c r="E32" i="1"/>
  <c r="N10" i="6"/>
  <c r="E32" i="3"/>
  <c r="L32" i="1"/>
  <c r="D32" i="2"/>
  <c r="E32" i="2"/>
  <c r="G32" i="2"/>
  <c r="D9" i="6"/>
  <c r="N32" i="5"/>
  <c r="K10" i="6" l="1"/>
  <c r="D10" i="6"/>
  <c r="C10" i="6"/>
  <c r="L10" i="6"/>
  <c r="I10" i="6"/>
  <c r="J10" i="6"/>
  <c r="O32" i="1"/>
  <c r="O10" i="2"/>
  <c r="O32" i="2" s="1"/>
  <c r="E32" i="4"/>
  <c r="E31" i="6" s="1"/>
  <c r="K32" i="5"/>
  <c r="K31" i="6" s="1"/>
  <c r="J32" i="5"/>
  <c r="D32" i="4"/>
  <c r="D31" i="6" s="1"/>
  <c r="O10" i="4"/>
  <c r="O32" i="4" s="1"/>
  <c r="C32" i="4"/>
  <c r="G32" i="3"/>
  <c r="G31" i="6" s="1"/>
  <c r="H32" i="3"/>
  <c r="H31" i="6" s="1"/>
  <c r="I32" i="1"/>
  <c r="I9" i="6"/>
  <c r="G9" i="6"/>
  <c r="K9" i="6"/>
  <c r="J32" i="1"/>
  <c r="J9" i="6"/>
  <c r="M32" i="2"/>
  <c r="M31" i="6" s="1"/>
  <c r="M32" i="6" s="1"/>
  <c r="H9" i="6"/>
  <c r="L32" i="2"/>
  <c r="L31" i="6" s="1"/>
  <c r="E9" i="6"/>
  <c r="N32" i="2"/>
  <c r="N31" i="6" s="1"/>
  <c r="F32" i="3"/>
  <c r="F31" i="6" s="1"/>
  <c r="O10" i="3"/>
  <c r="O32" i="3" s="1"/>
  <c r="C32" i="3"/>
  <c r="C31" i="6" s="1"/>
  <c r="C9" i="6"/>
  <c r="I32" i="2"/>
  <c r="N9" i="6"/>
  <c r="F9" i="6"/>
  <c r="D32" i="6" l="1"/>
  <c r="E32" i="6"/>
  <c r="H32" i="6"/>
  <c r="G32" i="6"/>
  <c r="F32" i="6"/>
  <c r="L32" i="6"/>
  <c r="I31" i="6"/>
  <c r="I32" i="6" s="1"/>
  <c r="K32" i="6"/>
  <c r="J31" i="6"/>
  <c r="J32" i="6" s="1"/>
  <c r="N32" i="6"/>
  <c r="O10" i="6"/>
  <c r="O9" i="6"/>
  <c r="C32" i="6"/>
  <c r="O31" i="6" l="1"/>
  <c r="O32" i="6" s="1"/>
</calcChain>
</file>

<file path=xl/sharedStrings.xml><?xml version="1.0" encoding="utf-8"?>
<sst xmlns="http://schemas.openxmlformats.org/spreadsheetml/2006/main" count="495" uniqueCount="97">
  <si>
    <t>IMPUESTOS SOBRE LOS INGRESOS BRUTOS</t>
  </si>
  <si>
    <t>IMPUESTO INMOBILIARIO</t>
  </si>
  <si>
    <t>IMPUESTOS A LOS SELLOS</t>
  </si>
  <si>
    <t>IMPUESTOS AUTOMOTOR</t>
  </si>
  <si>
    <t>OTROS IMPUESTOS</t>
  </si>
  <si>
    <t>RECURSOS TRIBUTARIOS PROVINCIALES</t>
  </si>
  <si>
    <t>en millones de pesos</t>
  </si>
  <si>
    <t>Información remitida por la provincia</t>
  </si>
  <si>
    <t>POTESTADES TRIBUTARIAS DELEGADAS</t>
  </si>
  <si>
    <t>Provincial</t>
  </si>
  <si>
    <t>Municipal</t>
  </si>
  <si>
    <t>Municipal (**)</t>
  </si>
  <si>
    <t>Municipal  (*)</t>
  </si>
  <si>
    <t>(*) sólo incluye la derivada del Convenio Multilateral y contribuyentes directos fuera de ejido municipal. La originada por contribuyentes directos dentro del ejido municipal se encuentra delegada a los gobiernos municipales</t>
  </si>
  <si>
    <t>https://www.aref.gob.ar/estadistica-tributaria/</t>
  </si>
  <si>
    <t>https://atp.chaco.gob.ar/recaudacion</t>
  </si>
  <si>
    <t>https://www.rentasjujuy.gob.ar/recaudacion/</t>
  </si>
  <si>
    <t>https://www.dgiplarioja.gob.ar/frontend51/page?1,principal,LR-Informes-de-Recaudacion,O,es,0,</t>
  </si>
  <si>
    <t>http://www.rentastucuman.gob.ar/nomina/rentastuc2/nwdatos_interes/recaudacion.php</t>
  </si>
  <si>
    <t>https://www.gba.gob.ar/economia/direccion_provincial_de_politica_tributaria/recaudacion_provincial</t>
  </si>
  <si>
    <t>https://portal.entrerios.gov.ar/haciendayfinanzas/analisisfiscal/ps/ingresospublicos/6792</t>
  </si>
  <si>
    <t>https://www.formosa.gob.ar/atp/recaudaciones</t>
  </si>
  <si>
    <t>https://atmisiones.gob.ar/documentacion-y-estadisticas/</t>
  </si>
  <si>
    <t>https://dprneuquen.gob.ar/recaudacion-mensual/</t>
  </si>
  <si>
    <t>https://agencia.rionegro.gov.ar/?contID=60047</t>
  </si>
  <si>
    <t>https://recaudacionrentas.sanjuan.gob.ar/</t>
  </si>
  <si>
    <t>https://www.asip.gob.ar/recaudacion/</t>
  </si>
  <si>
    <t>https://www.agip.gob.ar/informacion-de-utilidad/recaudacion/recaudacion</t>
  </si>
  <si>
    <t xml:space="preserve">Nota: </t>
  </si>
  <si>
    <t>SUBSECRETARÍA DE COORDINACIÓN FISCAL PROVINCIAL</t>
  </si>
  <si>
    <t>Jurisdicción</t>
  </si>
  <si>
    <t>Ingresos Brutos</t>
  </si>
  <si>
    <t>Inmobiliario</t>
  </si>
  <si>
    <t>Automotor</t>
  </si>
  <si>
    <t>Sellos</t>
  </si>
  <si>
    <t>Directos</t>
  </si>
  <si>
    <t>Conv. Mult.</t>
  </si>
  <si>
    <t>Urbano</t>
  </si>
  <si>
    <t>Rural</t>
  </si>
  <si>
    <t>Buenos Aires</t>
  </si>
  <si>
    <t>Catamarca</t>
  </si>
  <si>
    <t>Córdoba</t>
  </si>
  <si>
    <t>Corrientes</t>
  </si>
  <si>
    <t>Chaco</t>
  </si>
  <si>
    <t>Chubut</t>
  </si>
  <si>
    <t>Entre Ríos</t>
  </si>
  <si>
    <t>Formosa</t>
  </si>
  <si>
    <t>Jujuy</t>
  </si>
  <si>
    <t>La Pampa</t>
  </si>
  <si>
    <t>La Rioja</t>
  </si>
  <si>
    <t>Mendoza</t>
  </si>
  <si>
    <t>Misiones</t>
  </si>
  <si>
    <t>Neuquén</t>
  </si>
  <si>
    <t>Río Negro</t>
  </si>
  <si>
    <t>Salta</t>
  </si>
  <si>
    <t>San Juan</t>
  </si>
  <si>
    <t>San Luis</t>
  </si>
  <si>
    <t>Santa Cruz</t>
  </si>
  <si>
    <t>Santa Fé</t>
  </si>
  <si>
    <t>Santiago del Estero</t>
  </si>
  <si>
    <t>Tucumán</t>
  </si>
  <si>
    <t>Tierra del Fuego</t>
  </si>
  <si>
    <r>
      <t>Fuente:</t>
    </r>
    <r>
      <rPr>
        <i/>
        <sz val="11"/>
        <rFont val="Roboto"/>
      </rPr>
      <t xml:space="preserve"> Dirección Nacional de Asuntos Provinciales.</t>
    </r>
  </si>
  <si>
    <t>Notas:</t>
  </si>
  <si>
    <r>
      <t>(*)</t>
    </r>
    <r>
      <rPr>
        <i/>
        <sz val="11"/>
        <rFont val="Roboto"/>
      </rPr>
      <t xml:space="preserve"> La recaudación del Impuesto sobre los Ingresos Brutos a nivel provincial incluye la derivada del Convenio Multilateral y contribuyentes directos fuera de ejido municipal, en razón que la originada por contribuyentes directos dentro del ejido municipal se encuentra delegada a los gobiernos municipales. </t>
    </r>
  </si>
  <si>
    <r>
      <t>(**)</t>
    </r>
    <r>
      <rPr>
        <i/>
        <sz val="11"/>
        <rFont val="Roboto"/>
      </rPr>
      <t xml:space="preserve"> De acuerdo a la Constitución Provincial el impuesto es de potestad municipal, aunque en la práctica la estructura del impuesto la define la Provincia y la gestión del cobro esta descentralizada.</t>
    </r>
  </si>
  <si>
    <t xml:space="preserve">CONSIDERACIONES METODOLÓGICAS
</t>
  </si>
  <si>
    <t>La información de tributarios provinciales mensuales proviene de las Direcciones de Rentas o Administraciones Tributarias Provinciales. Consecuentemente, la Dirección Nacional de Asuntos Provinciales sólo la replica  tal como es divulgada por dichos organismos sin realizar modificaciones ni cambios de ninguna naturaleza. Cabe aclarar que, por ejemplo, puede incluir recursos no tributarios cuya recaudación se encuentra bajo la órbita de los organismos recaudadores. La periodicidad de la publicación es mensual pero podría variar en función de la información disponible en las páginas web provinciales consultadas. Los montos podrían ser rectificados en función de la disponibilidad de nuevos datos.
Adicionalmente, se recuerda que la distribución de potestades tributarias no es homogénea en todas las jurisdicciones por lo que deben tenerse en cuenta a la hora de confeccionar comparaciones. Los datos del presente informe corresponden exclusivamente a los ingresos de potestad provincial. Para consultar información municipal puede dirigirse a los sitios WEB oficiales de cada jurisdicción o: 
https://www.economia.gob.ar/dnap/municipios.html</t>
  </si>
  <si>
    <t>Sitio Web</t>
  </si>
  <si>
    <t>CABA</t>
  </si>
  <si>
    <t>Febrero</t>
  </si>
  <si>
    <t xml:space="preserve">Enero </t>
  </si>
  <si>
    <t>Marzo</t>
  </si>
  <si>
    <t>Abril</t>
  </si>
  <si>
    <t>Mayo</t>
  </si>
  <si>
    <t>Junio</t>
  </si>
  <si>
    <t>Julio</t>
  </si>
  <si>
    <t>Agosto</t>
  </si>
  <si>
    <t>Septiembre</t>
  </si>
  <si>
    <t>Octubre</t>
  </si>
  <si>
    <t>Noviembre</t>
  </si>
  <si>
    <t>Diciembre</t>
  </si>
  <si>
    <t>Total</t>
  </si>
  <si>
    <t xml:space="preserve">Notas: </t>
  </si>
  <si>
    <t>Fuente: Direcciones de Rentas o Administraciones Tributarias Provinciales. Para más detalle ver hoja "Fuente-Metodología".</t>
  </si>
  <si>
    <t>Chubut (*)</t>
  </si>
  <si>
    <t>Santa Fe</t>
  </si>
  <si>
    <t>C.A.B.A.</t>
  </si>
  <si>
    <t>https://economiaygestionpublica.cba.gov.ar/publicacion/ingresos-tributarios/</t>
  </si>
  <si>
    <t>Última actualización</t>
  </si>
  <si>
    <t>https://www.dgrsalta.gov.ar/Inicio/OtrasGestiones/Estadisticas/</t>
  </si>
  <si>
    <t>https://dpip.sanluis.gov.ar/rentas_sanluis/?page_id=8977</t>
  </si>
  <si>
    <r>
      <rPr>
        <i/>
        <sz val="11"/>
        <rFont val="Roboto"/>
      </rPr>
      <t>Dirección General de Rentas de La Pampa. Datos publicados en el sitio de la Contaduría General de la provincia.</t>
    </r>
    <r>
      <rPr>
        <u/>
        <sz val="11"/>
        <color rgb="FF0000FF"/>
        <rFont val="Roboto"/>
      </rPr>
      <t xml:space="preserve">
https://contaduriageneral.lapampa.gob.ar/ejecucion-presupuestaria/ano-2026/informe-de-recursos-mensual</t>
    </r>
  </si>
  <si>
    <t>https://atm.mendoza.gov.ar/recaudacion/</t>
  </si>
  <si>
    <t>https://www.santafe.gov.ar/index.php/web/content/view/full/259564/(subtema)/217070</t>
  </si>
  <si>
    <t>https://dgrentas.arcat.gob.ar/recaudacion.php</t>
  </si>
  <si>
    <r>
      <t xml:space="preserve">Información remitida por la provincia. Para el mes de septiembre se tomó como fuente de información la página web de la Agencia de Recaudación de la Provincia: </t>
    </r>
    <r>
      <rPr>
        <u/>
        <sz val="11"/>
        <color rgb="FF0000FF"/>
        <rFont val="Roboto"/>
      </rPr>
      <t>https://www.arech.gob.ar/institucional/estadisticas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</si>
</sst>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_ &quot;$&quot;\ * #,##0.00_ ;_ &quot;$&quot;\ * \-#,##0.00_ ;_ &quot;$&quot;\ * &quot;-&quot;??_ ;_ @_ "/>
    <numFmt numFmtId="167" formatCode="0.0"/>
    <numFmt numFmtId="168" formatCode="_-* #,##0.00\ [$€]_-;\-* #,##0.00\ [$€]_-;_-* &quot;-&quot;??\ [$€]_-;_-@_-"/>
    <numFmt numFmtId="169" formatCode="General_)"/>
    <numFmt numFmtId="170" formatCode="#,##0;\-#,##0;&quot;-&quot;"/>
    <numFmt numFmtId="171" formatCode="dd\-mm\-yyyy;@"/>
  </numFmts>
  <fonts count="40" x14ac:knownFonts="1">
    <font>
      <sz val="10"/>
      <name val="Arial"/>
    </font>
    <font>
      <sz val="10"/>
      <name val="Arial"/>
      <family val="2"/>
    </font>
    <font>
      <b/>
      <sz val="12"/>
      <name val="Arial"/>
      <family val="2"/>
    </font>
    <font>
      <b/>
      <i/>
      <sz val="12"/>
      <name val="Arial"/>
      <family val="2"/>
    </font>
    <font>
      <b/>
      <sz val="10"/>
      <name val="Arial"/>
      <family val="2"/>
    </font>
    <font>
      <i/>
      <sz val="12"/>
      <color indexed="8"/>
      <name val="Comic Sans MS"/>
      <family val="4"/>
    </font>
    <font>
      <b/>
      <sz val="10"/>
      <color indexed="9"/>
      <name val="Arial"/>
      <family val="2"/>
    </font>
    <font>
      <sz val="46"/>
      <name val="Arial"/>
      <family val="2"/>
    </font>
    <font>
      <sz val="11"/>
      <name val="Arial"/>
      <family val="2"/>
    </font>
    <font>
      <sz val="10"/>
      <name val="Arial"/>
      <family val="2"/>
    </font>
    <font>
      <sz val="16"/>
      <name val="Arial"/>
      <family val="2"/>
    </font>
    <font>
      <sz val="10"/>
      <name val="Courier"/>
      <family val="3"/>
    </font>
    <font>
      <u/>
      <sz val="5"/>
      <color indexed="12"/>
      <name val="Courier"/>
      <family val="3"/>
    </font>
    <font>
      <u/>
      <sz val="10"/>
      <color theme="10"/>
      <name val="Arial"/>
      <family val="2"/>
    </font>
    <font>
      <sz val="10"/>
      <name val="Roboto"/>
    </font>
    <font>
      <i/>
      <sz val="12"/>
      <color indexed="8"/>
      <name val="Roboto"/>
    </font>
    <font>
      <b/>
      <sz val="14"/>
      <name val="Roboto"/>
    </font>
    <font>
      <b/>
      <sz val="14"/>
      <color indexed="8"/>
      <name val="Roboto"/>
    </font>
    <font>
      <sz val="11"/>
      <color indexed="8"/>
      <name val="Roboto"/>
    </font>
    <font>
      <b/>
      <sz val="11"/>
      <color indexed="8"/>
      <name val="Roboto"/>
    </font>
    <font>
      <b/>
      <sz val="11"/>
      <color indexed="9"/>
      <name val="Roboto"/>
    </font>
    <font>
      <b/>
      <sz val="11"/>
      <color theme="0" tint="-0.14999847407452621"/>
      <name val="Roboto"/>
    </font>
    <font>
      <b/>
      <i/>
      <u/>
      <sz val="11"/>
      <name val="Roboto"/>
    </font>
    <font>
      <i/>
      <sz val="11"/>
      <name val="Roboto"/>
    </font>
    <font>
      <sz val="11"/>
      <name val="Roboto"/>
    </font>
    <font>
      <b/>
      <sz val="10"/>
      <name val="Roboto"/>
    </font>
    <font>
      <b/>
      <sz val="11"/>
      <name val="Roboto"/>
    </font>
    <font>
      <sz val="11"/>
      <color indexed="9"/>
      <name val="Roboto"/>
    </font>
    <font>
      <b/>
      <i/>
      <sz val="11"/>
      <name val="Roboto"/>
    </font>
    <font>
      <u/>
      <sz val="11"/>
      <color theme="10"/>
      <name val="Roboto"/>
    </font>
    <font>
      <b/>
      <sz val="12"/>
      <color indexed="9"/>
      <name val="Roboto"/>
    </font>
    <font>
      <b/>
      <sz val="12"/>
      <color indexed="8"/>
      <name val="Roboto"/>
    </font>
    <font>
      <b/>
      <sz val="12"/>
      <color theme="0" tint="-0.14999847407452621"/>
      <name val="Roboto"/>
    </font>
    <font>
      <u/>
      <sz val="11"/>
      <color rgb="FF0000FF"/>
      <name val="Roboto"/>
    </font>
    <font>
      <i/>
      <sz val="11"/>
      <color theme="1"/>
      <name val="Roboto"/>
    </font>
    <font>
      <sz val="12"/>
      <name val="Arial"/>
      <family val="2"/>
    </font>
    <font>
      <b/>
      <i/>
      <u/>
      <sz val="10"/>
      <name val="Roboto"/>
    </font>
    <font>
      <i/>
      <sz val="10"/>
      <name val="Roboto"/>
    </font>
    <font>
      <i/>
      <sz val="10"/>
      <name val="Arial"/>
      <family val="2"/>
    </font>
    <font>
      <sz val="8"/>
      <name val="Arial"/>
      <family val="2"/>
    </font>
  </fonts>
  <fills count="5">
    <fill>
      <patternFill patternType="none"/>
    </fill>
    <fill>
      <patternFill patternType="gray125"/>
    </fill>
    <fill>
      <patternFill patternType="solid">
        <fgColor theme="0"/>
        <bgColor indexed="64"/>
      </patternFill>
    </fill>
    <fill>
      <patternFill patternType="solid">
        <fgColor rgb="FF242C4F"/>
        <bgColor indexed="64"/>
      </patternFill>
    </fill>
    <fill>
      <patternFill patternType="solid">
        <fgColor theme="0" tint="-0.14999847407452621"/>
        <bgColor indexed="64"/>
      </patternFill>
    </fill>
  </fills>
  <borders count="16">
    <border>
      <left/>
      <right/>
      <top/>
      <bottom/>
      <diagonal/>
    </border>
    <border>
      <left/>
      <right/>
      <top/>
      <bottom style="medium">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top/>
      <bottom style="thin">
        <color theme="0" tint="-0.14996795556505021"/>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0.14996795556505021"/>
      </left>
      <right style="thin">
        <color theme="0" tint="-0.34998626667073579"/>
      </right>
      <top style="thin">
        <color theme="0" tint="-0.14996795556505021"/>
      </top>
      <bottom style="thin">
        <color theme="0" tint="-0.34998626667073579"/>
      </bottom>
      <diagonal/>
    </border>
    <border>
      <left style="thin">
        <color theme="0" tint="-0.34998626667073579"/>
      </left>
      <right style="thin">
        <color theme="0" tint="-0.34998626667073579"/>
      </right>
      <top style="thin">
        <color theme="0" tint="-0.14996795556505021"/>
      </top>
      <bottom style="thin">
        <color theme="0" tint="-0.34998626667073579"/>
      </bottom>
      <diagonal/>
    </border>
    <border>
      <left style="thin">
        <color theme="0" tint="-0.34998626667073579"/>
      </left>
      <right style="thin">
        <color theme="0" tint="-0.14996795556505021"/>
      </right>
      <top style="thin">
        <color theme="0" tint="-0.14996795556505021"/>
      </top>
      <bottom style="thin">
        <color theme="0" tint="-0.34998626667073579"/>
      </bottom>
      <diagonal/>
    </border>
    <border>
      <left style="thin">
        <color theme="0" tint="-0.14996795556505021"/>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14996795556505021"/>
      </right>
      <top style="thin">
        <color theme="0" tint="-0.34998626667073579"/>
      </top>
      <bottom style="thin">
        <color theme="0" tint="-0.34998626667073579"/>
      </bottom>
      <diagonal/>
    </border>
    <border>
      <left style="thin">
        <color theme="0" tint="-0.14996795556505021"/>
      </left>
      <right style="thin">
        <color theme="0" tint="-0.34998626667073579"/>
      </right>
      <top style="thin">
        <color theme="0" tint="-0.34998626667073579"/>
      </top>
      <bottom style="thin">
        <color theme="0" tint="-0.14996795556505021"/>
      </bottom>
      <diagonal/>
    </border>
    <border>
      <left style="thin">
        <color theme="0" tint="-0.34998626667073579"/>
      </left>
      <right style="thin">
        <color theme="0" tint="-0.34998626667073579"/>
      </right>
      <top style="thin">
        <color theme="0" tint="-0.34998626667073579"/>
      </top>
      <bottom style="thin">
        <color theme="0" tint="-0.14996795556505021"/>
      </bottom>
      <diagonal/>
    </border>
    <border>
      <left style="thin">
        <color theme="0" tint="-0.34998626667073579"/>
      </left>
      <right style="thin">
        <color theme="0" tint="-0.14996795556505021"/>
      </right>
      <top style="thin">
        <color theme="0" tint="-0.34998626667073579"/>
      </top>
      <bottom style="thin">
        <color theme="0" tint="-0.14996795556505021"/>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s>
  <cellStyleXfs count="33">
    <xf numFmtId="0" fontId="0" fillId="0" borderId="0"/>
    <xf numFmtId="166" fontId="1"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168" fontId="1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12" fillId="0" borderId="0" applyNumberFormat="0" applyFill="0" applyBorder="0" applyAlignment="0" applyProtection="0">
      <alignment vertical="top"/>
      <protection locked="0"/>
    </xf>
    <xf numFmtId="0" fontId="9" fillId="0" borderId="0"/>
    <xf numFmtId="0" fontId="11"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13" fillId="0" borderId="0" applyNumberForma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22">
    <xf numFmtId="0" fontId="0" fillId="0" borderId="0" xfId="0"/>
    <xf numFmtId="164" fontId="2" fillId="0" borderId="0" xfId="0" applyNumberFormat="1" applyFont="1"/>
    <xf numFmtId="164" fontId="2" fillId="0" borderId="0" xfId="0" quotePrefix="1" applyNumberFormat="1" applyFont="1"/>
    <xf numFmtId="164" fontId="3" fillId="0" borderId="0" xfId="0" applyNumberFormat="1" applyFont="1"/>
    <xf numFmtId="164" fontId="4" fillId="0" borderId="0" xfId="0" applyNumberFormat="1" applyFont="1"/>
    <xf numFmtId="4" fontId="5" fillId="0" borderId="0" xfId="0" applyNumberFormat="1" applyFont="1"/>
    <xf numFmtId="0" fontId="5" fillId="0" borderId="0" xfId="0" applyFont="1"/>
    <xf numFmtId="165" fontId="5" fillId="0" borderId="0" xfId="2" applyNumberFormat="1" applyFont="1" applyFill="1" applyAlignment="1"/>
    <xf numFmtId="0" fontId="7" fillId="0" borderId="0" xfId="0" applyFont="1"/>
    <xf numFmtId="9" fontId="1" fillId="2" borderId="0" xfId="2" applyFont="1" applyFill="1"/>
    <xf numFmtId="10" fontId="1" fillId="2" borderId="0" xfId="0" applyNumberFormat="1" applyFont="1" applyFill="1"/>
    <xf numFmtId="0" fontId="1" fillId="2" borderId="0" xfId="0" applyFont="1" applyFill="1"/>
    <xf numFmtId="9" fontId="1" fillId="0" borderId="0" xfId="2" applyFont="1"/>
    <xf numFmtId="10" fontId="1" fillId="0" borderId="0" xfId="0" applyNumberFormat="1" applyFont="1"/>
    <xf numFmtId="0" fontId="1" fillId="0" borderId="0" xfId="0" applyFont="1"/>
    <xf numFmtId="166" fontId="1" fillId="0" borderId="0" xfId="1" applyFont="1"/>
    <xf numFmtId="164" fontId="0" fillId="0" borderId="0" xfId="0" applyNumberFormat="1"/>
    <xf numFmtId="167" fontId="0" fillId="0" borderId="0" xfId="0" applyNumberFormat="1"/>
    <xf numFmtId="0" fontId="10" fillId="0" borderId="0" xfId="0" applyFont="1"/>
    <xf numFmtId="164" fontId="8" fillId="0" borderId="0" xfId="2" applyNumberFormat="1" applyFont="1" applyFill="1" applyBorder="1" applyAlignment="1" applyProtection="1"/>
    <xf numFmtId="167" fontId="0" fillId="0" borderId="0" xfId="1" applyNumberFormat="1" applyFont="1"/>
    <xf numFmtId="2" fontId="0" fillId="0" borderId="0" xfId="1" applyNumberFormat="1" applyFont="1"/>
    <xf numFmtId="4" fontId="0" fillId="0" borderId="0" xfId="0" applyNumberFormat="1"/>
    <xf numFmtId="49" fontId="6" fillId="0" borderId="0" xfId="0" applyNumberFormat="1" applyFont="1" applyAlignment="1">
      <alignment horizontal="center" vertical="center"/>
    </xf>
    <xf numFmtId="0" fontId="6" fillId="0" borderId="0" xfId="0" applyFont="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center" vertical="justify" wrapText="1"/>
    </xf>
    <xf numFmtId="0" fontId="6" fillId="0" borderId="0" xfId="0" applyFont="1" applyAlignment="1">
      <alignment vertical="center" wrapText="1"/>
    </xf>
    <xf numFmtId="0" fontId="14" fillId="0" borderId="0" xfId="0" applyFont="1"/>
    <xf numFmtId="4" fontId="15" fillId="0" borderId="0" xfId="0" applyNumberFormat="1" applyFont="1"/>
    <xf numFmtId="0" fontId="15" fillId="0" borderId="0" xfId="0" applyFont="1"/>
    <xf numFmtId="165" fontId="15" fillId="0" borderId="0" xfId="2" applyNumberFormat="1" applyFont="1" applyFill="1" applyAlignment="1"/>
    <xf numFmtId="0" fontId="24" fillId="0" borderId="1" xfId="0" applyFont="1" applyBorder="1"/>
    <xf numFmtId="0" fontId="25" fillId="0" borderId="0" xfId="20" applyFont="1" applyAlignment="1">
      <alignment horizontal="left"/>
    </xf>
    <xf numFmtId="0" fontId="24" fillId="2" borderId="0" xfId="19" applyFont="1" applyFill="1"/>
    <xf numFmtId="0" fontId="24" fillId="0" borderId="0" xfId="19" applyFont="1"/>
    <xf numFmtId="0" fontId="16" fillId="2" borderId="0" xfId="19" applyFont="1" applyFill="1" applyAlignment="1">
      <alignment horizontal="centerContinuous"/>
    </xf>
    <xf numFmtId="0" fontId="16" fillId="2" borderId="0" xfId="19" applyFont="1" applyFill="1"/>
    <xf numFmtId="0" fontId="16" fillId="0" borderId="0" xfId="19" applyFont="1"/>
    <xf numFmtId="0" fontId="26" fillId="2" borderId="0" xfId="19" applyFont="1" applyFill="1"/>
    <xf numFmtId="0" fontId="26" fillId="0" borderId="0" xfId="19" applyFont="1"/>
    <xf numFmtId="0" fontId="27" fillId="3" borderId="2" xfId="19" applyFont="1" applyFill="1" applyBorder="1" applyAlignment="1">
      <alignment horizontal="center" vertical="center"/>
    </xf>
    <xf numFmtId="0" fontId="19" fillId="2" borderId="3" xfId="21" applyFont="1" applyFill="1" applyBorder="1" applyAlignment="1">
      <alignment horizontal="left"/>
    </xf>
    <xf numFmtId="0" fontId="24" fillId="0" borderId="2" xfId="19" applyFont="1" applyBorder="1" applyAlignment="1">
      <alignment horizontal="center"/>
    </xf>
    <xf numFmtId="0" fontId="19" fillId="2" borderId="3" xfId="21" quotePrefix="1" applyFont="1" applyFill="1" applyBorder="1" applyAlignment="1">
      <alignment horizontal="left"/>
    </xf>
    <xf numFmtId="37" fontId="28" fillId="0" borderId="0" xfId="19" applyNumberFormat="1" applyFont="1"/>
    <xf numFmtId="2" fontId="24" fillId="0" borderId="0" xfId="19" applyNumberFormat="1" applyFont="1" applyAlignment="1">
      <alignment horizontal="center"/>
    </xf>
    <xf numFmtId="2" fontId="26" fillId="0" borderId="0" xfId="19" applyNumberFormat="1" applyFont="1" applyAlignment="1">
      <alignment horizontal="center"/>
    </xf>
    <xf numFmtId="37" fontId="22" fillId="0" borderId="0" xfId="19" applyNumberFormat="1" applyFont="1"/>
    <xf numFmtId="0" fontId="24" fillId="0" borderId="0" xfId="19" applyFont="1" applyAlignment="1">
      <alignment vertical="center" wrapText="1"/>
    </xf>
    <xf numFmtId="0" fontId="24" fillId="0" borderId="1" xfId="21" applyFont="1" applyBorder="1"/>
    <xf numFmtId="9" fontId="24" fillId="0" borderId="1" xfId="2" applyFont="1" applyBorder="1"/>
    <xf numFmtId="164" fontId="24" fillId="0" borderId="0" xfId="21" applyNumberFormat="1" applyFont="1"/>
    <xf numFmtId="169" fontId="24" fillId="0" borderId="0" xfId="19" applyNumberFormat="1" applyFont="1" applyAlignment="1">
      <alignment horizontal="left" vertical="center" wrapText="1"/>
    </xf>
    <xf numFmtId="0" fontId="24" fillId="0" borderId="0" xfId="21" applyFont="1"/>
    <xf numFmtId="0" fontId="26" fillId="0" borderId="0" xfId="21" applyFont="1"/>
    <xf numFmtId="0" fontId="29" fillId="0" borderId="0" xfId="18" applyFont="1"/>
    <xf numFmtId="0" fontId="24" fillId="2" borderId="0" xfId="21" applyFont="1" applyFill="1"/>
    <xf numFmtId="0" fontId="19" fillId="2" borderId="2" xfId="21" applyFont="1" applyFill="1" applyBorder="1" applyAlignment="1">
      <alignment horizontal="left"/>
    </xf>
    <xf numFmtId="0" fontId="19" fillId="2" borderId="2" xfId="21" quotePrefix="1" applyFont="1" applyFill="1" applyBorder="1" applyAlignment="1">
      <alignment horizontal="left"/>
    </xf>
    <xf numFmtId="0" fontId="26" fillId="0" borderId="0" xfId="0" applyFont="1"/>
    <xf numFmtId="0" fontId="24" fillId="0" borderId="0" xfId="0" applyFont="1"/>
    <xf numFmtId="2" fontId="30" fillId="3" borderId="2" xfId="0" applyNumberFormat="1" applyFont="1" applyFill="1" applyBorder="1" applyAlignment="1">
      <alignment horizontal="center" vertical="center"/>
    </xf>
    <xf numFmtId="170" fontId="18" fillId="2" borderId="2" xfId="21" applyNumberFormat="1" applyFont="1" applyFill="1" applyBorder="1" applyAlignment="1">
      <alignment horizontal="center"/>
    </xf>
    <xf numFmtId="170" fontId="31" fillId="4" borderId="5" xfId="21" applyNumberFormat="1" applyFont="1" applyFill="1" applyBorder="1" applyAlignment="1">
      <alignment horizontal="center"/>
    </xf>
    <xf numFmtId="0" fontId="32" fillId="3" borderId="2" xfId="21" applyFont="1" applyFill="1" applyBorder="1" applyAlignment="1">
      <alignment horizontal="center" vertical="center"/>
    </xf>
    <xf numFmtId="170" fontId="32" fillId="3" borderId="2" xfId="21" applyNumberFormat="1" applyFont="1" applyFill="1" applyBorder="1" applyAlignment="1">
      <alignment horizontal="center" vertical="center"/>
    </xf>
    <xf numFmtId="0" fontId="26" fillId="4" borderId="6" xfId="19" applyFont="1" applyFill="1" applyBorder="1" applyAlignment="1">
      <alignment horizontal="center"/>
    </xf>
    <xf numFmtId="0" fontId="26" fillId="4" borderId="7" xfId="19" applyFont="1" applyFill="1" applyBorder="1" applyAlignment="1">
      <alignment horizontal="center"/>
    </xf>
    <xf numFmtId="0" fontId="26" fillId="4" borderId="8" xfId="19" applyFont="1" applyFill="1" applyBorder="1" applyAlignment="1">
      <alignment horizontal="center"/>
    </xf>
    <xf numFmtId="0" fontId="26" fillId="4" borderId="9" xfId="19" applyFont="1" applyFill="1" applyBorder="1" applyAlignment="1">
      <alignment horizontal="center"/>
    </xf>
    <xf numFmtId="0" fontId="26" fillId="4" borderId="10" xfId="19" applyFont="1" applyFill="1" applyBorder="1" applyAlignment="1">
      <alignment horizontal="center"/>
    </xf>
    <xf numFmtId="0" fontId="26" fillId="4" borderId="11" xfId="19" applyFont="1" applyFill="1" applyBorder="1" applyAlignment="1">
      <alignment horizontal="center"/>
    </xf>
    <xf numFmtId="0" fontId="24" fillId="0" borderId="11" xfId="19" applyFont="1" applyBorder="1" applyAlignment="1">
      <alignment horizontal="center"/>
    </xf>
    <xf numFmtId="0" fontId="24" fillId="0" borderId="10" xfId="19" applyFont="1" applyBorder="1" applyAlignment="1">
      <alignment horizontal="center"/>
    </xf>
    <xf numFmtId="0" fontId="24" fillId="0" borderId="9" xfId="19" applyFont="1" applyBorder="1" applyAlignment="1">
      <alignment horizontal="center"/>
    </xf>
    <xf numFmtId="0" fontId="26" fillId="4" borderId="12" xfId="19" applyFont="1" applyFill="1" applyBorder="1" applyAlignment="1">
      <alignment horizontal="center"/>
    </xf>
    <xf numFmtId="0" fontId="26" fillId="4" borderId="13" xfId="19" applyFont="1" applyFill="1" applyBorder="1" applyAlignment="1">
      <alignment horizontal="center"/>
    </xf>
    <xf numFmtId="0" fontId="24" fillId="0" borderId="13" xfId="19" applyFont="1" applyBorder="1" applyAlignment="1">
      <alignment horizontal="center"/>
    </xf>
    <xf numFmtId="0" fontId="24" fillId="0" borderId="14" xfId="19" applyFont="1" applyBorder="1" applyAlignment="1">
      <alignment horizontal="center"/>
    </xf>
    <xf numFmtId="0" fontId="35" fillId="0" borderId="0" xfId="0" applyFont="1"/>
    <xf numFmtId="0" fontId="24" fillId="0" borderId="0" xfId="0" applyFont="1" applyAlignment="1">
      <alignment vertical="center"/>
    </xf>
    <xf numFmtId="164" fontId="24" fillId="0" borderId="0" xfId="0" applyNumberFormat="1" applyFont="1"/>
    <xf numFmtId="0" fontId="36" fillId="0" borderId="0" xfId="0" applyFont="1"/>
    <xf numFmtId="0" fontId="37" fillId="0" borderId="0" xfId="0" applyFont="1"/>
    <xf numFmtId="0" fontId="37" fillId="0" borderId="1" xfId="0" applyFont="1" applyBorder="1" applyAlignment="1">
      <alignment vertical="center"/>
    </xf>
    <xf numFmtId="0" fontId="25" fillId="0" borderId="0" xfId="0" applyFont="1"/>
    <xf numFmtId="9" fontId="14" fillId="0" borderId="0" xfId="2" applyFont="1" applyBorder="1"/>
    <xf numFmtId="49" fontId="21" fillId="3" borderId="15" xfId="21" applyNumberFormat="1" applyFont="1" applyFill="1" applyBorder="1" applyAlignment="1">
      <alignment horizontal="center" vertical="center"/>
    </xf>
    <xf numFmtId="49" fontId="20" fillId="0" borderId="15" xfId="21" applyNumberFormat="1" applyFont="1" applyBorder="1" applyAlignment="1">
      <alignment horizontal="center" vertical="center"/>
    </xf>
    <xf numFmtId="0" fontId="24" fillId="0" borderId="15" xfId="21" applyFont="1" applyBorder="1"/>
    <xf numFmtId="0" fontId="19" fillId="2" borderId="15" xfId="21" applyFont="1" applyFill="1" applyBorder="1" applyAlignment="1">
      <alignment horizontal="left"/>
    </xf>
    <xf numFmtId="0" fontId="33" fillId="0" borderId="15" xfId="18" applyFont="1" applyFill="1" applyBorder="1" applyAlignment="1">
      <alignment horizontal="left" vertical="center"/>
    </xf>
    <xf numFmtId="0" fontId="33" fillId="0" borderId="15" xfId="18" applyFont="1" applyFill="1" applyBorder="1" applyAlignment="1">
      <alignment horizontal="left" vertical="center" wrapText="1"/>
    </xf>
    <xf numFmtId="0" fontId="33" fillId="0" borderId="15" xfId="18" applyFont="1" applyFill="1" applyBorder="1" applyAlignment="1">
      <alignment vertical="center" wrapText="1"/>
    </xf>
    <xf numFmtId="0" fontId="38" fillId="0" borderId="0" xfId="0" applyFont="1" applyAlignment="1">
      <alignment horizontal="right"/>
    </xf>
    <xf numFmtId="171" fontId="38" fillId="0" borderId="0" xfId="0" applyNumberFormat="1" applyFont="1" applyAlignment="1">
      <alignment horizontal="left"/>
    </xf>
    <xf numFmtId="0" fontId="19" fillId="2" borderId="15" xfId="21" applyFont="1" applyFill="1" applyBorder="1" applyAlignment="1">
      <alignment horizontal="left" vertical="center"/>
    </xf>
    <xf numFmtId="0" fontId="14" fillId="0" borderId="0" xfId="0" applyFont="1" applyAlignment="1">
      <alignment horizontal="right" vertical="center"/>
    </xf>
    <xf numFmtId="0" fontId="0" fillId="0" borderId="0" xfId="0" applyAlignment="1">
      <alignment horizontal="left"/>
    </xf>
    <xf numFmtId="0" fontId="34" fillId="0" borderId="15" xfId="0" applyFont="1" applyBorder="1" applyAlignment="1">
      <alignment horizontal="left" vertical="center"/>
    </xf>
    <xf numFmtId="0" fontId="33" fillId="0" borderId="15" xfId="18" quotePrefix="1" applyFont="1" applyFill="1" applyBorder="1" applyAlignment="1">
      <alignment horizontal="left" vertical="center" wrapText="1"/>
    </xf>
    <xf numFmtId="170" fontId="0" fillId="0" borderId="0" xfId="0" applyNumberFormat="1"/>
    <xf numFmtId="170" fontId="14" fillId="0" borderId="0" xfId="0" applyNumberFormat="1" applyFont="1"/>
    <xf numFmtId="0" fontId="13" fillId="0" borderId="15" xfId="18" applyFill="1" applyBorder="1" applyAlignment="1">
      <alignment horizontal="left" vertical="center"/>
    </xf>
    <xf numFmtId="164" fontId="16" fillId="0" borderId="0" xfId="0" applyNumberFormat="1" applyFont="1" applyAlignment="1">
      <alignment horizontal="center"/>
    </xf>
    <xf numFmtId="0" fontId="17" fillId="0" borderId="0" xfId="0" applyFont="1" applyAlignment="1">
      <alignment horizontal="center"/>
    </xf>
    <xf numFmtId="49" fontId="17" fillId="0" borderId="0" xfId="0" applyNumberFormat="1" applyFont="1" applyAlignment="1">
      <alignment horizontal="center"/>
    </xf>
    <xf numFmtId="0" fontId="19" fillId="0" borderId="0" xfId="0" applyFont="1" applyAlignment="1">
      <alignment horizontal="center"/>
    </xf>
    <xf numFmtId="0" fontId="24" fillId="0" borderId="0" xfId="21" quotePrefix="1" applyFont="1" applyAlignment="1">
      <alignment horizontal="justify" vertical="center" wrapText="1"/>
    </xf>
    <xf numFmtId="0" fontId="24" fillId="0" borderId="0" xfId="21" applyFont="1" applyAlignment="1">
      <alignment horizontal="justify" vertical="center" wrapText="1"/>
    </xf>
    <xf numFmtId="164" fontId="16" fillId="0" borderId="0" xfId="21" applyNumberFormat="1" applyFont="1" applyAlignment="1">
      <alignment horizontal="center" vertical="center" wrapText="1"/>
    </xf>
    <xf numFmtId="0" fontId="16" fillId="2" borderId="0" xfId="19" applyFont="1" applyFill="1" applyAlignment="1">
      <alignment horizontal="center" vertical="center"/>
    </xf>
    <xf numFmtId="0" fontId="16" fillId="2" borderId="4" xfId="19" applyFont="1" applyFill="1" applyBorder="1" applyAlignment="1">
      <alignment horizontal="center" vertical="center"/>
    </xf>
    <xf numFmtId="169" fontId="28" fillId="0" borderId="0" xfId="19" applyNumberFormat="1" applyFont="1" applyAlignment="1">
      <alignment horizontal="left" vertical="center" wrapText="1"/>
    </xf>
    <xf numFmtId="0" fontId="23" fillId="0" borderId="0" xfId="19" applyFont="1" applyAlignment="1">
      <alignment vertical="center" wrapText="1"/>
    </xf>
    <xf numFmtId="169" fontId="26" fillId="0" borderId="0" xfId="19" applyNumberFormat="1" applyFont="1" applyAlignment="1">
      <alignment horizontal="left" vertical="center" wrapText="1"/>
    </xf>
    <xf numFmtId="0" fontId="24" fillId="0" borderId="0" xfId="19" applyFont="1" applyAlignment="1">
      <alignment vertical="center" wrapText="1"/>
    </xf>
    <xf numFmtId="169" fontId="24" fillId="0" borderId="0" xfId="19" applyNumberFormat="1" applyFont="1" applyAlignment="1">
      <alignment horizontal="left" vertical="center" wrapText="1"/>
    </xf>
    <xf numFmtId="0" fontId="20" fillId="3" borderId="2" xfId="19" applyFont="1" applyFill="1" applyBorder="1" applyAlignment="1">
      <alignment horizontal="center" vertical="center"/>
    </xf>
    <xf numFmtId="0" fontId="34" fillId="0" borderId="15" xfId="0" applyFont="1" applyBorder="1" applyAlignment="1">
      <alignment horizontal="left" vertical="center" wrapText="1"/>
    </xf>
    <xf numFmtId="0" fontId="19" fillId="2" borderId="15" xfId="21" quotePrefix="1" applyFont="1" applyFill="1" applyBorder="1" applyAlignment="1">
      <alignment horizontal="left" vertical="center"/>
    </xf>
  </cellXfs>
  <cellStyles count="33">
    <cellStyle name="Euro" xfId="4" xr:uid="{00000000-0005-0000-0000-000000000000}"/>
    <cellStyle name="F2" xfId="5" xr:uid="{00000000-0005-0000-0000-000001000000}"/>
    <cellStyle name="F2 2" xfId="23" xr:uid="{00000000-0005-0000-0000-000002000000}"/>
    <cellStyle name="F3" xfId="6" xr:uid="{00000000-0005-0000-0000-000003000000}"/>
    <cellStyle name="F3 2" xfId="24" xr:uid="{00000000-0005-0000-0000-000004000000}"/>
    <cellStyle name="F4" xfId="7" xr:uid="{00000000-0005-0000-0000-000005000000}"/>
    <cellStyle name="F4 2" xfId="25" xr:uid="{00000000-0005-0000-0000-000006000000}"/>
    <cellStyle name="F5" xfId="8" xr:uid="{00000000-0005-0000-0000-000007000000}"/>
    <cellStyle name="F5 2" xfId="26" xr:uid="{00000000-0005-0000-0000-000008000000}"/>
    <cellStyle name="F6" xfId="9" xr:uid="{00000000-0005-0000-0000-000009000000}"/>
    <cellStyle name="F6 2" xfId="27" xr:uid="{00000000-0005-0000-0000-00000A000000}"/>
    <cellStyle name="F7" xfId="10" xr:uid="{00000000-0005-0000-0000-00000B000000}"/>
    <cellStyle name="F7 2" xfId="28" xr:uid="{00000000-0005-0000-0000-00000C000000}"/>
    <cellStyle name="F8" xfId="11" xr:uid="{00000000-0005-0000-0000-00000D000000}"/>
    <cellStyle name="F8 2" xfId="29" xr:uid="{00000000-0005-0000-0000-00000E000000}"/>
    <cellStyle name="Hipervínculo" xfId="18" builtinId="8"/>
    <cellStyle name="Hipervínculo 2" xfId="12" xr:uid="{00000000-0005-0000-0000-000010000000}"/>
    <cellStyle name="Moneda" xfId="1" builtinId="4"/>
    <cellStyle name="Normal" xfId="0" builtinId="0"/>
    <cellStyle name="Normal 2" xfId="13" xr:uid="{00000000-0005-0000-0000-000013000000}"/>
    <cellStyle name="Normal 2 2" xfId="21" xr:uid="{00000000-0005-0000-0000-000014000000}"/>
    <cellStyle name="Normal 3" xfId="14" xr:uid="{00000000-0005-0000-0000-000015000000}"/>
    <cellStyle name="Normal 4" xfId="19" xr:uid="{00000000-0005-0000-0000-000016000000}"/>
    <cellStyle name="Normal_Hoja1" xfId="20" xr:uid="{00000000-0005-0000-0000-000017000000}"/>
    <cellStyle name="Porcentaje" xfId="2" builtinId="5"/>
    <cellStyle name="Porcentaje 2" xfId="15" xr:uid="{00000000-0005-0000-0000-000019000000}"/>
    <cellStyle name="Porcentaje 2 2" xfId="30" xr:uid="{00000000-0005-0000-0000-00001A000000}"/>
    <cellStyle name="Porcentual 2" xfId="16" xr:uid="{00000000-0005-0000-0000-00001B000000}"/>
    <cellStyle name="Porcentual 2 2" xfId="31" xr:uid="{00000000-0005-0000-0000-00001C000000}"/>
    <cellStyle name="Porcentual 3" xfId="17" xr:uid="{00000000-0005-0000-0000-00001D000000}"/>
    <cellStyle name="Porcentual 3 2" xfId="3" xr:uid="{00000000-0005-0000-0000-00001E000000}"/>
    <cellStyle name="Porcentual 3 2 2" xfId="22" xr:uid="{00000000-0005-0000-0000-00001F000000}"/>
    <cellStyle name="Porcentual 3 3" xfId="32" xr:uid="{00000000-0005-0000-0000-000020000000}"/>
  </cellStyles>
  <dxfs count="0"/>
  <tableStyles count="0" defaultTableStyle="TableStyleMedium2" defaultPivotStyle="PivotStyleLight16"/>
  <colors>
    <mruColors>
      <color rgb="FF0000FF"/>
      <color rgb="FF242C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5</xdr:row>
      <xdr:rowOff>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3344"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5</xdr:row>
      <xdr:rowOff>1400</xdr:rowOff>
    </xdr:to>
    <xdr:pic>
      <xdr:nvPicPr>
        <xdr:cNvPr id="2" name="image1.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3344"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4</xdr:row>
      <xdr:rowOff>235323</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9647"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5</xdr:row>
      <xdr:rowOff>1400</xdr:rowOff>
    </xdr:to>
    <xdr:pic>
      <xdr:nvPicPr>
        <xdr:cNvPr id="2" name="image1.png">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3344"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5</xdr:row>
      <xdr:rowOff>1400</xdr:rowOff>
    </xdr:to>
    <xdr:pic>
      <xdr:nvPicPr>
        <xdr:cNvPr id="2" name="image1.png">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3344"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4</xdr:row>
      <xdr:rowOff>252755</xdr:rowOff>
    </xdr:to>
    <xdr:pic>
      <xdr:nvPicPr>
        <xdr:cNvPr id="2" name="image1.png">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4667"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1669678</xdr:colOff>
      <xdr:row>0</xdr:row>
      <xdr:rowOff>1311088</xdr:rowOff>
    </xdr:to>
    <xdr:pic>
      <xdr:nvPicPr>
        <xdr:cNvPr id="2" name="image1.png">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5725" y="0"/>
          <a:ext cx="1669678" cy="1311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89647</xdr:colOff>
      <xdr:row>0</xdr:row>
      <xdr:rowOff>33618</xdr:rowOff>
    </xdr:from>
    <xdr:to>
      <xdr:col>0</xdr:col>
      <xdr:colOff>1759325</xdr:colOff>
      <xdr:row>6</xdr:row>
      <xdr:rowOff>73538</xdr:rowOff>
    </xdr:to>
    <xdr:pic>
      <xdr:nvPicPr>
        <xdr:cNvPr id="2" name="image1.png">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3580" t="23640" r="18195" b="20468"/>
        <a:stretch>
          <a:fillRect/>
        </a:stretch>
      </xdr:blipFill>
      <xdr:spPr bwMode="auto">
        <a:xfrm>
          <a:off x="89647" y="33618"/>
          <a:ext cx="1669678" cy="13134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NCFP/Recursos/Proyrena/Anual/2002/Alt4_Proy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smolej\documentos\Excel\DEUDA\CuadrosDeuda\Deuda%20Largo%20Plazo\Cr&#233;ditos%20Multilaterales\Archivos%20viejos_Nestor\Amortizaci&#243;npor-ite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Fto_ a partir del impuesto"/>
      <sheetName val="Fto__a_partir_del_impuesto"/>
      <sheetName val="COP_FED"/>
      <sheetName val="22_PCIAS"/>
      <sheetName val="Tesoro_Nacional"/>
      <sheetName val="Fondo_ATN"/>
      <sheetName val="Coop__Eléct_"/>
      <sheetName val="C_F_E_E_"/>
      <sheetName val="Fto__a_partir_del_impuesto1"/>
      <sheetName val="Fto__a_partir_del_impuesto2"/>
      <sheetName val="COP_FED1"/>
      <sheetName val="22_PCIAS1"/>
      <sheetName val="Tesoro_Nacional1"/>
      <sheetName val="Fondo_ATN1"/>
      <sheetName val="Coop__Eléct_1"/>
      <sheetName val="C_F_E_E_1"/>
      <sheetName val="Fto__a_partir_del_impuesto3"/>
      <sheetName val="[Alt4_Proy2002.x䕬䍘䱅䔮"/>
      <sheetName val="Fto__a_partir_del_impuesto4"/>
      <sheetName val="COP_FED2"/>
      <sheetName val="22_PCIAS2"/>
      <sheetName val="Tesoro_Nacional2"/>
      <sheetName val="Fondo_ATN2"/>
      <sheetName val="Coop__Eléct_2"/>
      <sheetName val="C_F_E_E_2"/>
      <sheetName val="Fto__a_partir_del_impuesto5"/>
      <sheetName val="[Alt4_Proy2002_x䕬䍘䱅䔮"/>
      <sheetName val="Hoja3"/>
    </sheetNames>
    <sheetDataSet>
      <sheetData sheetId="0" refreshError="1">
        <row r="3">
          <cell r="A3" t="str">
            <v>PROYECCION DE RECURSOS 2001</v>
          </cell>
        </row>
        <row r="5">
          <cell r="A5" t="str">
            <v>EN MILLONES DE PESOS</v>
          </cell>
        </row>
        <row r="8">
          <cell r="A8" t="str">
            <v>IMPUESTOS</v>
          </cell>
          <cell r="D8" t="str">
            <v>MARZO</v>
          </cell>
        </row>
        <row r="11">
          <cell r="A11" t="str">
            <v>Ganancias</v>
          </cell>
          <cell r="D11">
            <v>777.7</v>
          </cell>
        </row>
        <row r="12">
          <cell r="A12" t="str">
            <v>Suma Fija</v>
          </cell>
          <cell r="D12">
            <v>48.332999999999998</v>
          </cell>
        </row>
        <row r="13">
          <cell r="A13" t="str">
            <v>Gcias. Neto</v>
          </cell>
          <cell r="D13">
            <v>729.36700000000008</v>
          </cell>
        </row>
        <row r="14">
          <cell r="A14" t="str">
            <v>Provincias 14%</v>
          </cell>
          <cell r="D14">
            <v>102.11138000000003</v>
          </cell>
        </row>
        <row r="15">
          <cell r="A15" t="str">
            <v>Fondo ATN</v>
          </cell>
          <cell r="D15">
            <v>14.587340000000001</v>
          </cell>
        </row>
        <row r="16">
          <cell r="A16" t="str">
            <v>Seg.Soc. 20%</v>
          </cell>
          <cell r="D16">
            <v>145.87340000000003</v>
          </cell>
        </row>
        <row r="17">
          <cell r="A17" t="str">
            <v>Gcias. Copart. Bruto</v>
          </cell>
          <cell r="D17">
            <v>466.79488000000003</v>
          </cell>
        </row>
        <row r="19">
          <cell r="A19" t="str">
            <v>IVA Neto de Reintegros</v>
          </cell>
          <cell r="D19">
            <v>1382.7</v>
          </cell>
        </row>
        <row r="20">
          <cell r="A20" t="str">
            <v>IVA BRUTO</v>
          </cell>
          <cell r="D20">
            <v>1409.7</v>
          </cell>
        </row>
        <row r="21">
          <cell r="A21" t="str">
            <v>REINTEGROS (-)</v>
          </cell>
          <cell r="D21">
            <v>27</v>
          </cell>
        </row>
        <row r="22">
          <cell r="A22" t="str">
            <v>Seg. Soc. 11%</v>
          </cell>
          <cell r="D22">
            <v>152.09700000000001</v>
          </cell>
        </row>
        <row r="23">
          <cell r="A23" t="str">
            <v>IVA Copart. Bruto</v>
          </cell>
          <cell r="D23">
            <v>1230.6030000000001</v>
          </cell>
        </row>
        <row r="26">
          <cell r="A26" t="str">
            <v>Resto Copart. Bruto</v>
          </cell>
          <cell r="D26">
            <v>204.96999999999997</v>
          </cell>
        </row>
        <row r="27">
          <cell r="A27" t="str">
            <v>Internos</v>
          </cell>
          <cell r="D27">
            <v>147.5</v>
          </cell>
        </row>
        <row r="28">
          <cell r="A28" t="str">
            <v>Presentación  Espontánea</v>
          </cell>
        </row>
        <row r="29">
          <cell r="A29" t="str">
            <v>Transferencia Inmuebles</v>
          </cell>
          <cell r="D29">
            <v>4</v>
          </cell>
        </row>
        <row r="30">
          <cell r="A30" t="str">
            <v>Premios de Juego (83,4%)</v>
          </cell>
          <cell r="D30">
            <v>4.17</v>
          </cell>
        </row>
        <row r="31">
          <cell r="A31" t="str">
            <v>Otros</v>
          </cell>
          <cell r="D31">
            <v>3.6</v>
          </cell>
        </row>
        <row r="32">
          <cell r="A32" t="str">
            <v>Gcia. Min. Presunta</v>
          </cell>
          <cell r="D32">
            <v>32</v>
          </cell>
        </row>
        <row r="33">
          <cell r="A33" t="str">
            <v>Intereses Pagados</v>
          </cell>
          <cell r="D33">
            <v>13.7</v>
          </cell>
        </row>
        <row r="35">
          <cell r="A35" t="str">
            <v>Total Impuestos</v>
          </cell>
          <cell r="D35">
            <v>2365.37</v>
          </cell>
        </row>
        <row r="37">
          <cell r="A37" t="str">
            <v>TOTAL COPART. BRUTO</v>
          </cell>
          <cell r="D37">
            <v>1902.36788</v>
          </cell>
        </row>
        <row r="38">
          <cell r="A38" t="str">
            <v>15% Pacto</v>
          </cell>
          <cell r="D38">
            <v>285.35518200000001</v>
          </cell>
        </row>
        <row r="39">
          <cell r="A39" t="str">
            <v>Fondo Compensador</v>
          </cell>
          <cell r="D39">
            <v>45.8</v>
          </cell>
        </row>
        <row r="40">
          <cell r="A40" t="str">
            <v>TOTAL COPART. NETO</v>
          </cell>
          <cell r="D40">
            <v>1571.212698</v>
          </cell>
        </row>
        <row r="42">
          <cell r="A42" t="str">
            <v>Leyes Especiales</v>
          </cell>
        </row>
        <row r="43">
          <cell r="A43" t="str">
            <v>Combustibles Naftas (100%)</v>
          </cell>
          <cell r="D43">
            <v>135</v>
          </cell>
        </row>
        <row r="44">
          <cell r="A44" t="str">
            <v>Activos(100%)</v>
          </cell>
        </row>
        <row r="45">
          <cell r="A45" t="str">
            <v>Energìa Elèctrica (100%)</v>
          </cell>
          <cell r="D45">
            <v>19.100000000000001</v>
          </cell>
        </row>
        <row r="46">
          <cell r="A46" t="str">
            <v>Bienes Personales</v>
          </cell>
          <cell r="D46">
            <v>12.1</v>
          </cell>
        </row>
        <row r="47">
          <cell r="A47" t="str">
            <v>Monotributo</v>
          </cell>
          <cell r="D47">
            <v>28.6</v>
          </cell>
        </row>
        <row r="48">
          <cell r="A48" t="str">
            <v>Internos Autom. Gasoleros</v>
          </cell>
        </row>
        <row r="49">
          <cell r="A49" t="str">
            <v>Adicional Cigarrillos</v>
          </cell>
          <cell r="D49">
            <v>17.5</v>
          </cell>
        </row>
        <row r="50">
          <cell r="A50" t="str">
            <v>Combustibles - Otros</v>
          </cell>
          <cell r="D50">
            <v>132.30000000000001</v>
          </cell>
        </row>
        <row r="51">
          <cell r="A51" t="str">
            <v>Premios de Juego (100%)</v>
          </cell>
        </row>
        <row r="52">
          <cell r="A52" t="str">
            <v>(*): ESTIMACION DNIAF DEL 11 DE AGOSTO DEL 2001</v>
          </cell>
        </row>
      </sheetData>
      <sheetData sheetId="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row r="13">
          <cell r="B13">
            <v>13083.3</v>
          </cell>
          <cell r="C13">
            <v>13083.3</v>
          </cell>
          <cell r="D13">
            <v>13083.3</v>
          </cell>
          <cell r="E13">
            <v>13083.3</v>
          </cell>
          <cell r="F13">
            <v>13083.3</v>
          </cell>
          <cell r="G13">
            <v>13083.3</v>
          </cell>
          <cell r="H13">
            <v>13083.3</v>
          </cell>
          <cell r="I13">
            <v>13083.3</v>
          </cell>
          <cell r="J13">
            <v>13083.3</v>
          </cell>
          <cell r="K13">
            <v>13083.3</v>
          </cell>
          <cell r="L13">
            <v>13083.3</v>
          </cell>
          <cell r="M13">
            <v>13083.699999999983</v>
          </cell>
          <cell r="N13">
            <v>157000</v>
          </cell>
        </row>
        <row r="14">
          <cell r="N14">
            <v>0</v>
          </cell>
        </row>
        <row r="15">
          <cell r="N15">
            <v>0</v>
          </cell>
        </row>
        <row r="16">
          <cell r="B16">
            <v>0</v>
          </cell>
          <cell r="C16">
            <v>0</v>
          </cell>
          <cell r="D16">
            <v>0</v>
          </cell>
          <cell r="E16">
            <v>0</v>
          </cell>
          <cell r="F16">
            <v>0</v>
          </cell>
          <cell r="G16">
            <v>0</v>
          </cell>
          <cell r="H16">
            <v>0</v>
          </cell>
          <cell r="I16">
            <v>0</v>
          </cell>
          <cell r="J16">
            <v>0</v>
          </cell>
          <cell r="K16">
            <v>0</v>
          </cell>
          <cell r="L16">
            <v>0</v>
          </cell>
          <cell r="M16">
            <v>0</v>
          </cell>
          <cell r="N16">
            <v>0</v>
          </cell>
        </row>
        <row r="17">
          <cell r="N17">
            <v>0</v>
          </cell>
        </row>
        <row r="18">
          <cell r="N18">
            <v>0</v>
          </cell>
        </row>
        <row r="19">
          <cell r="N19">
            <v>0</v>
          </cell>
        </row>
        <row r="21">
          <cell r="B21">
            <v>0</v>
          </cell>
          <cell r="C21">
            <v>0</v>
          </cell>
          <cell r="D21">
            <v>0</v>
          </cell>
          <cell r="E21">
            <v>0</v>
          </cell>
          <cell r="F21">
            <v>0</v>
          </cell>
          <cell r="G21">
            <v>0</v>
          </cell>
          <cell r="H21">
            <v>0</v>
          </cell>
          <cell r="I21">
            <v>0</v>
          </cell>
          <cell r="J21">
            <v>0</v>
          </cell>
          <cell r="K21">
            <v>0</v>
          </cell>
          <cell r="L21">
            <v>0</v>
          </cell>
          <cell r="M21">
            <v>0</v>
          </cell>
          <cell r="N21">
            <v>0</v>
          </cell>
        </row>
        <row r="22">
          <cell r="B22">
            <v>0</v>
          </cell>
          <cell r="C22">
            <v>0</v>
          </cell>
          <cell r="D22">
            <v>0</v>
          </cell>
          <cell r="E22">
            <v>0</v>
          </cell>
          <cell r="F22">
            <v>0</v>
          </cell>
          <cell r="G22">
            <v>0</v>
          </cell>
          <cell r="H22">
            <v>0</v>
          </cell>
          <cell r="I22">
            <v>0</v>
          </cell>
          <cell r="J22">
            <v>0</v>
          </cell>
          <cell r="K22">
            <v>0</v>
          </cell>
          <cell r="L22">
            <v>0</v>
          </cell>
          <cell r="M22">
            <v>0</v>
          </cell>
          <cell r="N22">
            <v>0</v>
          </cell>
        </row>
        <row r="23">
          <cell r="B23">
            <v>0</v>
          </cell>
          <cell r="C23">
            <v>0</v>
          </cell>
          <cell r="D23">
            <v>0</v>
          </cell>
          <cell r="E23">
            <v>0</v>
          </cell>
          <cell r="F23">
            <v>0</v>
          </cell>
          <cell r="G23">
            <v>0</v>
          </cell>
          <cell r="H23">
            <v>0</v>
          </cell>
          <cell r="I23">
            <v>0</v>
          </cell>
          <cell r="J23">
            <v>0</v>
          </cell>
          <cell r="K23">
            <v>0</v>
          </cell>
          <cell r="L23">
            <v>0</v>
          </cell>
          <cell r="M23">
            <v>0</v>
          </cell>
          <cell r="N23">
            <v>0</v>
          </cell>
        </row>
        <row r="24">
          <cell r="B24">
            <v>0</v>
          </cell>
          <cell r="C24">
            <v>0</v>
          </cell>
          <cell r="D24">
            <v>0</v>
          </cell>
          <cell r="E24">
            <v>0</v>
          </cell>
          <cell r="F24">
            <v>0</v>
          </cell>
          <cell r="G24">
            <v>0</v>
          </cell>
          <cell r="H24">
            <v>0</v>
          </cell>
          <cell r="I24">
            <v>0</v>
          </cell>
          <cell r="J24">
            <v>0</v>
          </cell>
          <cell r="K24">
            <v>0</v>
          </cell>
          <cell r="L24">
            <v>0</v>
          </cell>
          <cell r="M24">
            <v>0</v>
          </cell>
          <cell r="N24">
            <v>0</v>
          </cell>
        </row>
        <row r="25">
          <cell r="B25">
            <v>452.9</v>
          </cell>
          <cell r="C25">
            <v>582.29999999999995</v>
          </cell>
          <cell r="D25">
            <v>582.29999999999995</v>
          </cell>
          <cell r="E25">
            <v>582.29999999999995</v>
          </cell>
          <cell r="F25">
            <v>582.29999999999995</v>
          </cell>
          <cell r="G25">
            <v>582.29999999999995</v>
          </cell>
          <cell r="H25">
            <v>582.29999999999995</v>
          </cell>
          <cell r="I25">
            <v>625.4</v>
          </cell>
          <cell r="J25">
            <v>582.29999999999995</v>
          </cell>
          <cell r="K25">
            <v>582.29999999999995</v>
          </cell>
          <cell r="L25">
            <v>582.29999999999995</v>
          </cell>
          <cell r="M25">
            <v>668.6</v>
          </cell>
          <cell r="N25">
            <v>6987.6</v>
          </cell>
        </row>
        <row r="26">
          <cell r="B26">
            <v>0</v>
          </cell>
          <cell r="C26">
            <v>0</v>
          </cell>
          <cell r="D26">
            <v>0</v>
          </cell>
          <cell r="E26">
            <v>0</v>
          </cell>
          <cell r="F26">
            <v>0</v>
          </cell>
          <cell r="G26">
            <v>0</v>
          </cell>
          <cell r="H26">
            <v>0</v>
          </cell>
          <cell r="I26">
            <v>0</v>
          </cell>
          <cell r="J26">
            <v>0</v>
          </cell>
          <cell r="K26">
            <v>0</v>
          </cell>
          <cell r="L26">
            <v>0</v>
          </cell>
          <cell r="M26">
            <v>0</v>
          </cell>
          <cell r="N26">
            <v>0</v>
          </cell>
        </row>
        <row r="27">
          <cell r="B27">
            <v>0</v>
          </cell>
          <cell r="C27">
            <v>0</v>
          </cell>
          <cell r="D27">
            <v>0</v>
          </cell>
          <cell r="E27">
            <v>0</v>
          </cell>
          <cell r="F27">
            <v>0</v>
          </cell>
          <cell r="G27">
            <v>0</v>
          </cell>
          <cell r="H27">
            <v>0</v>
          </cell>
          <cell r="I27">
            <v>0</v>
          </cell>
          <cell r="J27">
            <v>0</v>
          </cell>
          <cell r="K27">
            <v>0</v>
          </cell>
          <cell r="L27">
            <v>0</v>
          </cell>
          <cell r="M27">
            <v>0</v>
          </cell>
          <cell r="N27">
            <v>0</v>
          </cell>
        </row>
        <row r="28">
          <cell r="B28">
            <v>0</v>
          </cell>
          <cell r="C28">
            <v>0</v>
          </cell>
          <cell r="D28">
            <v>0</v>
          </cell>
          <cell r="E28">
            <v>0</v>
          </cell>
          <cell r="F28">
            <v>0</v>
          </cell>
          <cell r="G28">
            <v>0</v>
          </cell>
          <cell r="H28">
            <v>0</v>
          </cell>
          <cell r="I28">
            <v>0</v>
          </cell>
          <cell r="J28">
            <v>0</v>
          </cell>
          <cell r="K28">
            <v>0</v>
          </cell>
          <cell r="L28">
            <v>0</v>
          </cell>
          <cell r="M28">
            <v>0</v>
          </cell>
          <cell r="N28">
            <v>0</v>
          </cell>
        </row>
        <row r="32">
          <cell r="B32">
            <v>13536.199999999999</v>
          </cell>
          <cell r="C32">
            <v>13665.599999999999</v>
          </cell>
          <cell r="D32">
            <v>13665.599999999999</v>
          </cell>
          <cell r="E32">
            <v>13665.599999999999</v>
          </cell>
          <cell r="F32">
            <v>13665.599999999999</v>
          </cell>
          <cell r="G32">
            <v>13665.599999999999</v>
          </cell>
          <cell r="H32">
            <v>13665.599999999999</v>
          </cell>
          <cell r="I32">
            <v>13708.699999999999</v>
          </cell>
          <cell r="J32">
            <v>13665.599999999999</v>
          </cell>
          <cell r="K32">
            <v>13665.599999999999</v>
          </cell>
          <cell r="L32">
            <v>13665.599999999999</v>
          </cell>
          <cell r="M32">
            <v>13752.299999999983</v>
          </cell>
          <cell r="N32">
            <v>163987.6</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eronave-BAPRO"/>
      <sheetName val="Helicóptero-BAPRO"/>
      <sheetName val="IPV-BAPRO"/>
      <sheetName val="Astillero Rio Santiago"/>
      <sheetName val="Novación- ESEBA"/>
      <sheetName val="Vialidad-BID"/>
      <sheetName val="Corfo-BID"/>
      <sheetName val="Corfo"/>
      <sheetName val="D.Arquitectura-BID"/>
      <sheetName val="D.Hidráulica-BID"/>
      <sheetName val="AGOSBA-BID"/>
      <sheetName val="Proy.ENOHSa"/>
      <sheetName val="SPAR-BID 31-12-98"/>
      <sheetName val="SPAR-BID 31-03-99"/>
      <sheetName val="PSF-BID-BIRF"/>
      <sheetName val="PSF-BIRF-3280"/>
      <sheetName val="PSF-BID-619"/>
      <sheetName val="PSF-BIRF-3877"/>
      <sheetName val="PFM-BIRF-2920"/>
      <sheetName val="PFM-BIRF-3860"/>
      <sheetName val="PFM-BID-830 y 932"/>
      <sheetName val="PFM-conjunto"/>
      <sheetName val="PFM-BID-BIRF"/>
      <sheetName val="PFM-BID-al-31-12-97"/>
      <sheetName val="PFM-BID-al-30-6-98"/>
      <sheetName val="PFM-BID-al-30-9-98"/>
      <sheetName val="PFM-BID-al-30-11-98"/>
      <sheetName val="PFM-BID-al-31-12-98"/>
      <sheetName val="PFM-BID-al-31-03-99"/>
      <sheetName val="PFM-BID-al-30-6-99"/>
      <sheetName val="PRISE (DGE)-BID"/>
      <sheetName val="Prodymes I (DGE)-BID"/>
      <sheetName val="Prodymes III (DGE)-BID"/>
      <sheetName val="Rio Reconquista-BID"/>
      <sheetName val="Rio Reconq-BIDcalendario modifi"/>
      <sheetName val="PAREFF-BID 12-98"/>
      <sheetName val="PAREFF-BID 03-99"/>
      <sheetName val="PRESSAL-BIRF"/>
      <sheetName val="Banco Arabe Español"/>
      <sheetName val="Banco Exterior de España"/>
      <sheetName val="Ins. Centrale-MOSP"/>
      <sheetName val="ICO"/>
      <sheetName val="BOCONBA"/>
      <sheetName val="Credit Lyonnais"/>
      <sheetName val="Swift Armour-Ley 11638"/>
      <sheetName val="BHN-IPV"/>
      <sheetName val="IPV (Wilde)-BH"/>
      <sheetName val="Prov. Ministerio Prod."/>
      <sheetName val="BH-Titulización(Res 1720)"/>
      <sheetName val="Unidad Ejecutora G.B."/>
      <sheetName val="IPV_BAPRO"/>
      <sheetName val="Astillero_Rio_Santiago"/>
      <sheetName val="Novación-_ESEBA"/>
      <sheetName val="D_Arquitectura-BID"/>
      <sheetName val="D_Hidráulica-BID"/>
      <sheetName val="Proy_ENOHSa"/>
      <sheetName val="SPAR-BID_31-12-98"/>
      <sheetName val="SPAR-BID_31-03-99"/>
      <sheetName val="PFM-BID-830_y_932"/>
      <sheetName val="PRISE_(DGE)-BID"/>
      <sheetName val="Prodymes_I_(DGE)-BID"/>
      <sheetName val="Prodymes_III_(DGE)-BID"/>
      <sheetName val="Rio_Reconquista-BID"/>
      <sheetName val="Rio_Reconq-BIDcalendario_modifi"/>
      <sheetName val="PAREFF-BID_12-98"/>
      <sheetName val="PAREFF-BID_03-99"/>
      <sheetName val="Banco_Arabe_Español"/>
      <sheetName val="Banco_Exterior_de_España"/>
      <sheetName val="Ins__Centrale-MOSP"/>
      <sheetName val="Credit_Lyonnais"/>
      <sheetName val="Swift_Armour-Ley_11638"/>
      <sheetName val="IPV_(Wilde)-BH"/>
      <sheetName val="Prov__Ministerio_Prod_"/>
      <sheetName val="BH-Titulización(Res_1720)"/>
      <sheetName val="Unidad_Ejecutora_G_B_"/>
      <sheetName val="Astillero_Rio_Santiago1"/>
      <sheetName val="Novación-_ESEBA1"/>
      <sheetName val="D_Arquitectura-BID1"/>
      <sheetName val="D_Hidráulica-BID1"/>
      <sheetName val="Proy_ENOHSa1"/>
      <sheetName val="SPAR-BID_31-12-981"/>
      <sheetName val="SPAR-BID_31-03-991"/>
      <sheetName val="PFM-BID-830_y_9321"/>
      <sheetName val="PRISE_(DGE)-BID1"/>
      <sheetName val="Prodymes_I_(DGE)-BID1"/>
      <sheetName val="Prodymes_III_(DGE)-BID1"/>
      <sheetName val="Rio_Reconquista-BID1"/>
      <sheetName val="Rio_Reconq-BIDcalendario_modif1"/>
      <sheetName val="PAREFF-BID_12-981"/>
      <sheetName val="PAREFF-BID_03-991"/>
      <sheetName val="Banco_Arabe_Español1"/>
      <sheetName val="Banco_Exterior_de_España1"/>
      <sheetName val="Ins__Centrale-MOSP1"/>
      <sheetName val="Credit_Lyonnais1"/>
      <sheetName val="Swift_Armour-Ley_116381"/>
      <sheetName val="IPV_(Wilde)-BH1"/>
      <sheetName val="Prov__Ministerio_Prod_1"/>
      <sheetName val="BH-Titulización(Res_1720)1"/>
      <sheetName val="Unidad_Ejecutora_G_B_1"/>
      <sheetName val="PAREFF-Nuevo Cronog"/>
      <sheetName val="Amortizaciónpor-item"/>
      <sheetName val="#¡REF"/>
      <sheetName val=""/>
      <sheetName val="Astillero_Rio_Santiago2"/>
      <sheetName val="Novación-_ESEBA2"/>
      <sheetName val="D_Arquitectura-BID2"/>
      <sheetName val="D_Hidráulica-BID2"/>
      <sheetName val="Proy_ENOHSa2"/>
      <sheetName val="SPAR-BID_31-12-982"/>
      <sheetName val="SPAR-BID_31-03-992"/>
      <sheetName val="PFM-BID-830_y_9322"/>
      <sheetName val="PRISE_(DGE)-BID2"/>
      <sheetName val="Prodymes_I_(DGE)-BID2"/>
      <sheetName val="Prodymes_III_(DGE)-BID2"/>
      <sheetName val="Rio_Reconquista-BID2"/>
      <sheetName val="Rio_Reconq-BIDcalendario_modif2"/>
      <sheetName val="PAREFF-BID_12-982"/>
      <sheetName val="PAREFF-BID_03-992"/>
      <sheetName val="Banco_Arabe_Español2"/>
      <sheetName val="Banco_Exterior_de_España2"/>
      <sheetName val="Ins__Centrale-MOSP2"/>
      <sheetName val="Credit_Lyonnais2"/>
      <sheetName val="Swift_Armour-Ley_116382"/>
      <sheetName val="IPV_(Wilde)-BH2"/>
      <sheetName val="Prov__Ministerio_Prod_2"/>
      <sheetName val="BH-Titulización(Res_1720)2"/>
      <sheetName val="Unidad_Ejecutora_G_B_2"/>
      <sheetName val="PAREFF-Nuevo_Crono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hyperlink" Target="https://www.dgrsalta.gov.ar/Inicio/OtrasGestiones/Estadisticas/" TargetMode="External"/><Relationship Id="rId13" Type="http://schemas.openxmlformats.org/officeDocument/2006/relationships/printerSettings" Target="../printerSettings/printerSettings7.bin"/><Relationship Id="rId3" Type="http://schemas.openxmlformats.org/officeDocument/2006/relationships/hyperlink" Target="https://portal.entrerios.gov.ar/haciendayfinanzas/analisisfiscal/ps/ingresospublicos/6792" TargetMode="External"/><Relationship Id="rId7" Type="http://schemas.openxmlformats.org/officeDocument/2006/relationships/hyperlink" Target="https://agencia.rionegro.gov.ar/?contID=60047" TargetMode="External"/><Relationship Id="rId12" Type="http://schemas.openxmlformats.org/officeDocument/2006/relationships/hyperlink" Target="https://dgrentas.arcat.gob.ar/recaudacion.php" TargetMode="External"/><Relationship Id="rId2" Type="http://schemas.openxmlformats.org/officeDocument/2006/relationships/hyperlink" Target="https://www.gba.gob.ar/economia/direccion_provincial_de_politica_tributaria/recaudacion_provincial" TargetMode="External"/><Relationship Id="rId1" Type="http://schemas.openxmlformats.org/officeDocument/2006/relationships/hyperlink" Target="https://www.agip.gob.ar/informacion-de-utilidad/recaudacion/recaudacion" TargetMode="External"/><Relationship Id="rId6" Type="http://schemas.openxmlformats.org/officeDocument/2006/relationships/hyperlink" Target="https://dprneuquen.gob.ar/recaudacion-mensual/" TargetMode="External"/><Relationship Id="rId11" Type="http://schemas.openxmlformats.org/officeDocument/2006/relationships/hyperlink" Target="https://www.aref.gob.ar/estadistica-tributaria/" TargetMode="External"/><Relationship Id="rId5" Type="http://schemas.openxmlformats.org/officeDocument/2006/relationships/hyperlink" Target="https://atm.mendoza.gov.ar/recaudacion/" TargetMode="External"/><Relationship Id="rId10" Type="http://schemas.openxmlformats.org/officeDocument/2006/relationships/hyperlink" Target="https://www.santafe.gov.ar/index.php/web/content/view/full/259564/(subtema)/217070" TargetMode="External"/><Relationship Id="rId4" Type="http://schemas.openxmlformats.org/officeDocument/2006/relationships/hyperlink" Target="https://www.rentasjujuy.gob.ar/recaudacion/" TargetMode="External"/><Relationship Id="rId9" Type="http://schemas.openxmlformats.org/officeDocument/2006/relationships/hyperlink" Target="https://dpip.sanluis.gov.ar/rentas_sanluis/?page_id=8977" TargetMode="External"/><Relationship Id="rId1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B1:AC48"/>
  <sheetViews>
    <sheetView showGridLines="0" tabSelected="1" zoomScale="85" zoomScaleNormal="85" workbookViewId="0">
      <pane xSplit="2" ySplit="7" topLeftCell="C8" activePane="bottomRight" state="frozen"/>
      <selection activeCell="B2" sqref="B2:C4"/>
      <selection pane="topRight" activeCell="B2" sqref="B2:C4"/>
      <selection pane="bottomLeft" activeCell="B2" sqref="B2:C4"/>
      <selection pane="bottomRight"/>
    </sheetView>
  </sheetViews>
  <sheetFormatPr baseColWidth="10" defaultRowHeight="12.75" x14ac:dyDescent="0.2"/>
  <cols>
    <col min="1" max="1" width="1.28515625" customWidth="1"/>
    <col min="2" max="2" width="26.85546875" customWidth="1"/>
    <col min="3" max="15" width="15" customWidth="1"/>
  </cols>
  <sheetData>
    <row r="1" spans="2:29" ht="21" customHeight="1" x14ac:dyDescent="0.25">
      <c r="B1" s="1"/>
      <c r="C1" s="2"/>
      <c r="D1" s="3"/>
      <c r="E1" s="3"/>
      <c r="F1" s="3"/>
      <c r="G1" s="3"/>
      <c r="H1" s="3"/>
      <c r="I1" s="3"/>
      <c r="K1" s="4"/>
      <c r="N1" s="95" t="s">
        <v>89</v>
      </c>
      <c r="O1" s="96">
        <v>46297</v>
      </c>
    </row>
    <row r="2" spans="2:29" ht="21" customHeight="1" x14ac:dyDescent="0.3">
      <c r="B2" s="105" t="s">
        <v>0</v>
      </c>
      <c r="C2" s="105"/>
      <c r="D2" s="105"/>
      <c r="E2" s="105"/>
      <c r="F2" s="105"/>
      <c r="G2" s="105"/>
      <c r="H2" s="105"/>
      <c r="I2" s="105"/>
      <c r="J2" s="105"/>
      <c r="K2" s="105"/>
      <c r="L2" s="105"/>
      <c r="M2" s="105"/>
      <c r="N2" s="105"/>
      <c r="O2" s="105"/>
    </row>
    <row r="3" spans="2:29" ht="21" customHeight="1" x14ac:dyDescent="0.3">
      <c r="B3" s="106">
        <v>2026</v>
      </c>
      <c r="C3" s="107"/>
      <c r="D3" s="107"/>
      <c r="E3" s="107"/>
      <c r="F3" s="107"/>
      <c r="G3" s="107"/>
      <c r="H3" s="107"/>
      <c r="I3" s="107"/>
      <c r="J3" s="107"/>
      <c r="K3" s="107"/>
      <c r="L3" s="107"/>
      <c r="M3" s="107"/>
      <c r="N3" s="107"/>
      <c r="O3" s="107"/>
    </row>
    <row r="4" spans="2:29" ht="21" customHeight="1" x14ac:dyDescent="0.25">
      <c r="B4" s="108" t="s">
        <v>6</v>
      </c>
      <c r="C4" s="108"/>
      <c r="D4" s="108"/>
      <c r="E4" s="108"/>
      <c r="F4" s="108"/>
      <c r="G4" s="108"/>
      <c r="H4" s="108"/>
      <c r="I4" s="108"/>
      <c r="J4" s="108"/>
      <c r="K4" s="108"/>
      <c r="L4" s="108"/>
      <c r="M4" s="108"/>
      <c r="N4" s="108"/>
      <c r="O4" s="108"/>
    </row>
    <row r="5" spans="2:29" ht="21" customHeight="1" x14ac:dyDescent="0.25">
      <c r="B5" s="28"/>
      <c r="C5" s="29"/>
      <c r="D5" s="30"/>
      <c r="E5" s="30"/>
      <c r="F5" s="30"/>
      <c r="G5" s="30"/>
      <c r="H5" s="31"/>
      <c r="I5" s="30"/>
      <c r="J5" s="28"/>
      <c r="K5" s="28"/>
      <c r="L5" s="28"/>
      <c r="M5" s="28"/>
      <c r="N5" s="28"/>
      <c r="O5" s="28"/>
      <c r="Q5" s="99"/>
    </row>
    <row r="6" spans="2:29" ht="30" customHeight="1" x14ac:dyDescent="0.2">
      <c r="B6" s="62" t="s">
        <v>30</v>
      </c>
      <c r="C6" s="62" t="s">
        <v>71</v>
      </c>
      <c r="D6" s="62" t="s">
        <v>70</v>
      </c>
      <c r="E6" s="62" t="s">
        <v>72</v>
      </c>
      <c r="F6" s="62" t="s">
        <v>73</v>
      </c>
      <c r="G6" s="62" t="s">
        <v>74</v>
      </c>
      <c r="H6" s="62" t="s">
        <v>75</v>
      </c>
      <c r="I6" s="62" t="s">
        <v>76</v>
      </c>
      <c r="J6" s="62" t="s">
        <v>77</v>
      </c>
      <c r="K6" s="62" t="s">
        <v>78</v>
      </c>
      <c r="L6" s="62" t="s">
        <v>79</v>
      </c>
      <c r="M6" s="62" t="s">
        <v>80</v>
      </c>
      <c r="N6" s="62" t="s">
        <v>81</v>
      </c>
      <c r="O6" s="62" t="s">
        <v>82</v>
      </c>
      <c r="Q6" s="98"/>
      <c r="R6" s="98"/>
      <c r="S6" s="98"/>
      <c r="T6" s="98"/>
      <c r="U6" s="98"/>
      <c r="V6" s="98"/>
      <c r="W6" s="98"/>
      <c r="X6" s="98"/>
      <c r="Y6" s="98"/>
      <c r="Z6" s="98"/>
      <c r="AA6" s="98"/>
      <c r="AB6" s="98"/>
      <c r="AC6" s="98"/>
    </row>
    <row r="7" spans="2:29" s="8" customFormat="1" ht="15" hidden="1" customHeight="1" x14ac:dyDescent="0.7">
      <c r="B7"/>
      <c r="C7"/>
      <c r="D7"/>
      <c r="E7"/>
      <c r="F7"/>
      <c r="G7"/>
      <c r="H7"/>
      <c r="I7"/>
      <c r="J7"/>
      <c r="K7"/>
      <c r="L7"/>
      <c r="M7"/>
      <c r="N7"/>
      <c r="O7"/>
    </row>
    <row r="8" spans="2:29" s="14" customFormat="1" ht="15.75" customHeight="1" x14ac:dyDescent="0.25">
      <c r="B8" s="58" t="s">
        <v>87</v>
      </c>
      <c r="C8" s="63">
        <v>759579.1</v>
      </c>
      <c r="D8" s="63">
        <v>711180.3</v>
      </c>
      <c r="E8" s="63">
        <v>644673.9</v>
      </c>
      <c r="F8" s="63">
        <v>714719.7</v>
      </c>
      <c r="G8" s="63">
        <v>750198.5</v>
      </c>
      <c r="H8" s="63">
        <v>737506.4</v>
      </c>
      <c r="I8" s="63">
        <v>783413.9</v>
      </c>
      <c r="J8" s="63">
        <v>807806.2</v>
      </c>
      <c r="K8" s="63">
        <v>0</v>
      </c>
      <c r="L8" s="63">
        <v>0</v>
      </c>
      <c r="M8" s="63">
        <v>0</v>
      </c>
      <c r="N8" s="63">
        <v>0</v>
      </c>
      <c r="O8" s="64">
        <f t="shared" ref="O8" si="0">SUM(C8:N8)</f>
        <v>5909078.0000000009</v>
      </c>
      <c r="P8" s="12"/>
      <c r="Q8" s="9"/>
      <c r="R8" s="9"/>
      <c r="S8" s="9"/>
      <c r="T8" s="9"/>
      <c r="U8" s="9"/>
      <c r="V8" s="9"/>
      <c r="W8" s="9"/>
      <c r="X8" s="9"/>
      <c r="Y8" s="9"/>
      <c r="Z8" s="9"/>
      <c r="AA8" s="9"/>
      <c r="AB8" s="9"/>
      <c r="AC8" s="9"/>
    </row>
    <row r="9" spans="2:29" s="11" customFormat="1" ht="15.75" customHeight="1" x14ac:dyDescent="0.25">
      <c r="B9" s="58" t="s">
        <v>39</v>
      </c>
      <c r="C9" s="63">
        <v>1086193.5263529173</v>
      </c>
      <c r="D9" s="63">
        <v>961709.43477138923</v>
      </c>
      <c r="E9" s="63">
        <v>944164.53880939633</v>
      </c>
      <c r="F9" s="63">
        <v>1084984.6854309849</v>
      </c>
      <c r="G9" s="63">
        <v>1060147.2614873406</v>
      </c>
      <c r="H9" s="63">
        <v>1156260.9193777842</v>
      </c>
      <c r="I9" s="63">
        <v>1197577.6290516299</v>
      </c>
      <c r="J9" s="63">
        <v>0</v>
      </c>
      <c r="K9" s="63">
        <v>0</v>
      </c>
      <c r="L9" s="63">
        <v>0</v>
      </c>
      <c r="M9" s="63">
        <v>0</v>
      </c>
      <c r="N9" s="63">
        <v>0</v>
      </c>
      <c r="O9" s="64">
        <f>SUM(C9:N9)</f>
        <v>7491037.995281443</v>
      </c>
      <c r="P9" s="9"/>
      <c r="Q9" s="9"/>
      <c r="R9" s="9"/>
      <c r="S9" s="9"/>
      <c r="T9" s="9"/>
      <c r="U9" s="9"/>
      <c r="V9" s="9"/>
      <c r="W9" s="9"/>
      <c r="X9" s="9"/>
      <c r="Y9" s="9"/>
      <c r="Z9" s="9"/>
      <c r="AA9" s="9"/>
      <c r="AB9" s="9"/>
      <c r="AC9" s="9"/>
    </row>
    <row r="10" spans="2:29" s="14" customFormat="1" ht="15.75" customHeight="1" x14ac:dyDescent="0.25">
      <c r="B10" s="58" t="s">
        <v>40</v>
      </c>
      <c r="C10" s="63">
        <v>21870.151581810002</v>
      </c>
      <c r="D10" s="63">
        <v>18769.000077920002</v>
      </c>
      <c r="E10" s="63">
        <v>18127.227409530002</v>
      </c>
      <c r="F10" s="63">
        <v>20732.330873160001</v>
      </c>
      <c r="G10" s="63">
        <v>20529.255093479998</v>
      </c>
      <c r="H10" s="63">
        <v>21657.432749209998</v>
      </c>
      <c r="I10" s="63">
        <v>23144.8214386</v>
      </c>
      <c r="J10" s="63">
        <v>23293.55141082</v>
      </c>
      <c r="K10" s="63">
        <v>20849.843682520001</v>
      </c>
      <c r="L10" s="63">
        <v>0</v>
      </c>
      <c r="M10" s="63">
        <v>0</v>
      </c>
      <c r="N10" s="63">
        <v>0</v>
      </c>
      <c r="O10" s="64">
        <f t="shared" ref="O10:O31" si="1">SUM(C10:N10)</f>
        <v>188973.61431705</v>
      </c>
      <c r="P10" s="12"/>
      <c r="Q10" s="9"/>
      <c r="R10" s="9"/>
      <c r="S10" s="9"/>
      <c r="T10" s="9"/>
      <c r="U10" s="9"/>
      <c r="V10" s="9"/>
      <c r="W10" s="9"/>
      <c r="X10" s="9"/>
      <c r="Y10" s="9"/>
      <c r="Z10" s="9"/>
      <c r="AA10" s="9"/>
      <c r="AB10" s="9"/>
      <c r="AC10" s="9"/>
    </row>
    <row r="11" spans="2:29" s="14" customFormat="1" ht="15.75" customHeight="1" x14ac:dyDescent="0.25">
      <c r="B11" s="58" t="s">
        <v>41</v>
      </c>
      <c r="C11" s="63">
        <v>277942.43593199999</v>
      </c>
      <c r="D11" s="63">
        <v>242946.49812400001</v>
      </c>
      <c r="E11" s="63">
        <v>245101.444514</v>
      </c>
      <c r="F11" s="63">
        <v>260877.63902500001</v>
      </c>
      <c r="G11" s="63">
        <v>272287.85337800003</v>
      </c>
      <c r="H11" s="63">
        <v>271632.28898399998</v>
      </c>
      <c r="I11" s="63">
        <v>275249.34281300002</v>
      </c>
      <c r="J11" s="63">
        <v>281578.51392900001</v>
      </c>
      <c r="K11" s="63">
        <v>0</v>
      </c>
      <c r="L11" s="63">
        <v>0</v>
      </c>
      <c r="M11" s="63">
        <v>0</v>
      </c>
      <c r="N11" s="63">
        <v>0</v>
      </c>
      <c r="O11" s="64">
        <f t="shared" si="1"/>
        <v>2127616.0166990003</v>
      </c>
      <c r="P11" s="12"/>
      <c r="Q11" s="9"/>
      <c r="R11" s="9"/>
      <c r="S11" s="9"/>
      <c r="T11" s="9"/>
      <c r="U11" s="9"/>
      <c r="V11" s="9"/>
      <c r="W11" s="9"/>
      <c r="X11" s="9"/>
      <c r="Y11" s="9"/>
      <c r="Z11" s="9"/>
      <c r="AA11" s="9"/>
      <c r="AB11" s="9"/>
      <c r="AC11" s="9"/>
    </row>
    <row r="12" spans="2:29" s="14" customFormat="1" ht="15.75" customHeight="1" x14ac:dyDescent="0.25">
      <c r="B12" s="58" t="s">
        <v>42</v>
      </c>
      <c r="C12" s="63">
        <v>31388.155612849998</v>
      </c>
      <c r="D12" s="63">
        <v>30211.81</v>
      </c>
      <c r="E12" s="63">
        <v>28772.437883100007</v>
      </c>
      <c r="F12" s="63">
        <v>32059.956612019996</v>
      </c>
      <c r="G12" s="63">
        <v>32161.157915990003</v>
      </c>
      <c r="H12" s="63">
        <v>32702.148336760001</v>
      </c>
      <c r="I12" s="63">
        <v>33839.743632949998</v>
      </c>
      <c r="J12" s="63">
        <v>0</v>
      </c>
      <c r="K12" s="63">
        <v>0</v>
      </c>
      <c r="L12" s="63">
        <v>0</v>
      </c>
      <c r="M12" s="63">
        <v>0</v>
      </c>
      <c r="N12" s="63">
        <v>0</v>
      </c>
      <c r="O12" s="64">
        <f t="shared" si="1"/>
        <v>221135.40999367004</v>
      </c>
      <c r="P12" s="12"/>
      <c r="Q12" s="9"/>
      <c r="R12" s="9"/>
      <c r="S12" s="9"/>
      <c r="T12" s="9"/>
      <c r="U12" s="9"/>
      <c r="V12" s="9"/>
      <c r="W12" s="9"/>
      <c r="X12" s="9"/>
      <c r="Y12" s="9"/>
      <c r="Z12" s="9"/>
      <c r="AA12" s="9"/>
      <c r="AB12" s="9"/>
      <c r="AC12" s="9"/>
    </row>
    <row r="13" spans="2:29" s="14" customFormat="1" ht="15.75" customHeight="1" x14ac:dyDescent="0.25">
      <c r="B13" s="58" t="s">
        <v>43</v>
      </c>
      <c r="C13" s="63">
        <v>33654.962143930003</v>
      </c>
      <c r="D13" s="63">
        <v>31721.619536999999</v>
      </c>
      <c r="E13" s="63">
        <v>28963.609582000001</v>
      </c>
      <c r="F13" s="63">
        <v>30813.302239559998</v>
      </c>
      <c r="G13" s="63">
        <v>31627.758203329999</v>
      </c>
      <c r="H13" s="63">
        <v>33417.513189390003</v>
      </c>
      <c r="I13" s="63">
        <v>36452.558499649997</v>
      </c>
      <c r="J13" s="63">
        <v>37011.910176819998</v>
      </c>
      <c r="K13" s="63">
        <v>0</v>
      </c>
      <c r="L13" s="63">
        <v>0</v>
      </c>
      <c r="M13" s="63">
        <v>0</v>
      </c>
      <c r="N13" s="63">
        <v>0</v>
      </c>
      <c r="O13" s="64">
        <f t="shared" si="1"/>
        <v>263663.23357168003</v>
      </c>
      <c r="P13" s="12"/>
      <c r="Q13" s="9"/>
      <c r="R13" s="9"/>
      <c r="S13" s="9"/>
      <c r="T13" s="9"/>
      <c r="U13" s="9"/>
      <c r="V13" s="9"/>
      <c r="W13" s="9"/>
      <c r="X13" s="9"/>
      <c r="Y13" s="9"/>
      <c r="Z13" s="9"/>
      <c r="AA13" s="9"/>
      <c r="AB13" s="9"/>
      <c r="AC13" s="9"/>
    </row>
    <row r="14" spans="2:29" s="14" customFormat="1" ht="15.75" customHeight="1" x14ac:dyDescent="0.25">
      <c r="B14" s="59" t="s">
        <v>85</v>
      </c>
      <c r="C14" s="63">
        <v>49522.085366179999</v>
      </c>
      <c r="D14" s="63">
        <v>45753.886422210002</v>
      </c>
      <c r="E14" s="63">
        <v>41764.974936209997</v>
      </c>
      <c r="F14" s="63">
        <v>46964.932341</v>
      </c>
      <c r="G14" s="63">
        <v>48912.075466690003</v>
      </c>
      <c r="H14" s="63">
        <v>48360.677904919998</v>
      </c>
      <c r="I14" s="63">
        <v>59118.946496910001</v>
      </c>
      <c r="J14" s="63">
        <v>53052.972395110002</v>
      </c>
      <c r="K14" s="63">
        <v>53969</v>
      </c>
      <c r="L14" s="63">
        <v>0</v>
      </c>
      <c r="M14" s="63">
        <v>0</v>
      </c>
      <c r="N14" s="63">
        <v>0</v>
      </c>
      <c r="O14" s="64">
        <f t="shared" si="1"/>
        <v>447419.55132923002</v>
      </c>
      <c r="P14" s="12"/>
      <c r="Q14" s="9"/>
      <c r="R14" s="9"/>
      <c r="S14" s="9"/>
      <c r="T14" s="9"/>
      <c r="U14" s="9"/>
      <c r="V14" s="9"/>
      <c r="W14" s="9"/>
      <c r="X14" s="9"/>
      <c r="Y14" s="9"/>
      <c r="Z14" s="9"/>
      <c r="AA14" s="9"/>
      <c r="AB14" s="9"/>
      <c r="AC14" s="9"/>
    </row>
    <row r="15" spans="2:29" s="14" customFormat="1" ht="15.75" customHeight="1" x14ac:dyDescent="0.25">
      <c r="B15" s="58" t="s">
        <v>45</v>
      </c>
      <c r="C15" s="63">
        <v>71086.671954000005</v>
      </c>
      <c r="D15" s="63">
        <v>64033.055967</v>
      </c>
      <c r="E15" s="63">
        <v>61766.402625000002</v>
      </c>
      <c r="F15" s="63">
        <v>67785.222425</v>
      </c>
      <c r="G15" s="63">
        <v>67360.573766000001</v>
      </c>
      <c r="H15" s="63">
        <v>71000.459526999999</v>
      </c>
      <c r="I15" s="63">
        <v>72164.557052999997</v>
      </c>
      <c r="J15" s="63">
        <v>74265.589741000003</v>
      </c>
      <c r="K15" s="63">
        <v>0</v>
      </c>
      <c r="L15" s="63">
        <v>0</v>
      </c>
      <c r="M15" s="63">
        <v>0</v>
      </c>
      <c r="N15" s="63">
        <v>0</v>
      </c>
      <c r="O15" s="64">
        <f t="shared" si="1"/>
        <v>549462.53305799991</v>
      </c>
      <c r="P15" s="12"/>
      <c r="Q15" s="9"/>
      <c r="R15" s="9"/>
      <c r="S15" s="9"/>
      <c r="T15" s="9"/>
      <c r="U15" s="9"/>
      <c r="V15" s="9"/>
      <c r="W15" s="9"/>
      <c r="X15" s="9"/>
      <c r="Y15" s="9"/>
      <c r="Z15" s="9"/>
      <c r="AA15" s="9"/>
      <c r="AB15" s="9"/>
      <c r="AC15" s="9"/>
    </row>
    <row r="16" spans="2:29" s="14" customFormat="1" ht="15.75" customHeight="1" x14ac:dyDescent="0.25">
      <c r="B16" s="58" t="s">
        <v>46</v>
      </c>
      <c r="C16" s="63">
        <v>13853.670831670001</v>
      </c>
      <c r="D16" s="63">
        <v>13091.20440542</v>
      </c>
      <c r="E16" s="63">
        <v>12710.47287446</v>
      </c>
      <c r="F16" s="63">
        <v>13819.89748209</v>
      </c>
      <c r="G16" s="63">
        <v>16554.10737406</v>
      </c>
      <c r="H16" s="63">
        <v>16142.334236889999</v>
      </c>
      <c r="I16" s="63">
        <v>16466.410044659999</v>
      </c>
      <c r="J16" s="63">
        <v>17367.111050150001</v>
      </c>
      <c r="K16" s="63">
        <v>17068.618878879999</v>
      </c>
      <c r="L16" s="63">
        <v>0</v>
      </c>
      <c r="M16" s="63">
        <v>0</v>
      </c>
      <c r="N16" s="63">
        <v>0</v>
      </c>
      <c r="O16" s="64">
        <f t="shared" si="1"/>
        <v>137073.82717828001</v>
      </c>
      <c r="P16" s="12"/>
      <c r="Q16" s="9"/>
      <c r="R16" s="9"/>
      <c r="S16" s="9"/>
      <c r="T16" s="9"/>
      <c r="U16" s="9"/>
      <c r="V16" s="9"/>
      <c r="W16" s="9"/>
      <c r="X16" s="9"/>
      <c r="Y16" s="9"/>
      <c r="Z16" s="9"/>
      <c r="AA16" s="9"/>
      <c r="AB16" s="9"/>
      <c r="AC16" s="9"/>
    </row>
    <row r="17" spans="2:29" s="14" customFormat="1" ht="15.75" customHeight="1" x14ac:dyDescent="0.25">
      <c r="B17" s="58" t="s">
        <v>47</v>
      </c>
      <c r="C17" s="63">
        <v>25337.645064</v>
      </c>
      <c r="D17" s="63">
        <v>23522.391473</v>
      </c>
      <c r="E17" s="63">
        <v>23692.420305</v>
      </c>
      <c r="F17" s="63">
        <v>24783.802606000001</v>
      </c>
      <c r="G17" s="63">
        <v>26407.681451</v>
      </c>
      <c r="H17" s="63">
        <v>26470.798853</v>
      </c>
      <c r="I17" s="63">
        <v>27597.065148999998</v>
      </c>
      <c r="J17" s="63">
        <v>27979.338176000001</v>
      </c>
      <c r="K17" s="63">
        <v>0</v>
      </c>
      <c r="L17" s="63">
        <v>0</v>
      </c>
      <c r="M17" s="63">
        <v>0</v>
      </c>
      <c r="N17" s="63">
        <v>0</v>
      </c>
      <c r="O17" s="64">
        <f t="shared" si="1"/>
        <v>205791.14307699999</v>
      </c>
      <c r="P17" s="12"/>
      <c r="Q17" s="9"/>
      <c r="R17" s="9"/>
      <c r="S17" s="9"/>
      <c r="T17" s="9"/>
      <c r="U17" s="9"/>
      <c r="V17" s="9"/>
      <c r="W17" s="9"/>
      <c r="X17" s="9"/>
      <c r="Y17" s="9"/>
      <c r="Z17" s="9"/>
      <c r="AA17" s="9"/>
      <c r="AB17" s="9"/>
      <c r="AC17" s="9"/>
    </row>
    <row r="18" spans="2:29" s="11" customFormat="1" ht="15.75" customHeight="1" x14ac:dyDescent="0.25">
      <c r="B18" s="58" t="s">
        <v>48</v>
      </c>
      <c r="C18" s="63">
        <v>35892.892710749999</v>
      </c>
      <c r="D18" s="63">
        <v>25307.500375299998</v>
      </c>
      <c r="E18" s="63">
        <v>34479.59942785</v>
      </c>
      <c r="F18" s="63">
        <v>29660.02766195</v>
      </c>
      <c r="G18" s="63">
        <v>32620.482718110001</v>
      </c>
      <c r="H18" s="63">
        <v>41994.210468630001</v>
      </c>
      <c r="I18" s="63">
        <v>39666.186751820002</v>
      </c>
      <c r="J18" s="63">
        <v>0</v>
      </c>
      <c r="K18" s="63">
        <v>0</v>
      </c>
      <c r="L18" s="63">
        <v>0</v>
      </c>
      <c r="M18" s="63">
        <v>0</v>
      </c>
      <c r="N18" s="63">
        <v>0</v>
      </c>
      <c r="O18" s="64">
        <f t="shared" si="1"/>
        <v>239620.90011441</v>
      </c>
      <c r="P18" s="9"/>
      <c r="Q18" s="9"/>
      <c r="R18" s="9"/>
      <c r="S18" s="9"/>
      <c r="T18" s="9"/>
      <c r="U18" s="9"/>
      <c r="V18" s="9"/>
      <c r="W18" s="9"/>
      <c r="X18" s="9"/>
      <c r="Y18" s="9"/>
      <c r="Z18" s="9"/>
      <c r="AA18" s="9"/>
      <c r="AB18" s="9"/>
      <c r="AC18" s="9"/>
    </row>
    <row r="19" spans="2:29" s="14" customFormat="1" ht="15.75" customHeight="1" x14ac:dyDescent="0.25">
      <c r="B19" s="58" t="s">
        <v>49</v>
      </c>
      <c r="C19" s="63">
        <v>11905.85784717</v>
      </c>
      <c r="D19" s="63">
        <v>10431.22931162</v>
      </c>
      <c r="E19" s="63">
        <v>10141.297310030001</v>
      </c>
      <c r="F19" s="63">
        <v>12154.9953214</v>
      </c>
      <c r="G19" s="63">
        <v>11506.15128883</v>
      </c>
      <c r="H19" s="63">
        <v>12236.695804139999</v>
      </c>
      <c r="I19" s="63">
        <v>12720.151156250004</v>
      </c>
      <c r="J19" s="63">
        <v>11573.441946630001</v>
      </c>
      <c r="K19" s="63">
        <v>0</v>
      </c>
      <c r="L19" s="63">
        <v>0</v>
      </c>
      <c r="M19" s="63">
        <v>0</v>
      </c>
      <c r="N19" s="63">
        <v>0</v>
      </c>
      <c r="O19" s="64">
        <f t="shared" si="1"/>
        <v>92669.819986070012</v>
      </c>
      <c r="P19" s="12"/>
      <c r="Q19" s="9"/>
      <c r="R19" s="9"/>
      <c r="S19" s="9"/>
      <c r="T19" s="9"/>
      <c r="U19" s="9"/>
      <c r="V19" s="9"/>
      <c r="W19" s="9"/>
      <c r="X19" s="9"/>
      <c r="Y19" s="9"/>
      <c r="Z19" s="9"/>
      <c r="AA19" s="9"/>
      <c r="AB19" s="9"/>
      <c r="AC19" s="9"/>
    </row>
    <row r="20" spans="2:29" s="14" customFormat="1" ht="15.75" customHeight="1" x14ac:dyDescent="0.25">
      <c r="B20" s="58" t="s">
        <v>50</v>
      </c>
      <c r="C20" s="63">
        <v>117078.451628</v>
      </c>
      <c r="D20" s="63">
        <v>107684.30237400001</v>
      </c>
      <c r="E20" s="63">
        <v>102299.489784</v>
      </c>
      <c r="F20" s="63">
        <v>110785.143496</v>
      </c>
      <c r="G20" s="63">
        <v>117822.892378</v>
      </c>
      <c r="H20" s="63">
        <v>116053.38275</v>
      </c>
      <c r="I20" s="63">
        <v>117457.97822800001</v>
      </c>
      <c r="J20" s="63">
        <v>121430.414962</v>
      </c>
      <c r="K20" s="63">
        <v>0</v>
      </c>
      <c r="L20" s="63">
        <v>0</v>
      </c>
      <c r="M20" s="63">
        <v>0</v>
      </c>
      <c r="N20" s="63">
        <v>0</v>
      </c>
      <c r="O20" s="64">
        <f t="shared" si="1"/>
        <v>910612.05559999996</v>
      </c>
      <c r="P20" s="12"/>
      <c r="Q20" s="9"/>
      <c r="R20" s="9"/>
      <c r="S20" s="9"/>
      <c r="T20" s="9"/>
      <c r="U20" s="9"/>
      <c r="V20" s="9"/>
      <c r="W20" s="9"/>
      <c r="X20" s="9"/>
      <c r="Y20" s="9"/>
      <c r="Z20" s="9"/>
      <c r="AA20" s="9"/>
      <c r="AB20" s="9"/>
      <c r="AC20" s="9"/>
    </row>
    <row r="21" spans="2:29" s="14" customFormat="1" ht="15.75" customHeight="1" x14ac:dyDescent="0.25">
      <c r="B21" s="58" t="s">
        <v>51</v>
      </c>
      <c r="C21" s="63">
        <v>84541.87094949001</v>
      </c>
      <c r="D21" s="63">
        <v>77385.175415710008</v>
      </c>
      <c r="E21" s="63">
        <v>74671.141779649988</v>
      </c>
      <c r="F21" s="63">
        <v>86671.876499050006</v>
      </c>
      <c r="G21" s="63">
        <v>82187.030331670001</v>
      </c>
      <c r="H21" s="63">
        <v>81085.175830630003</v>
      </c>
      <c r="I21" s="63">
        <v>86230.193046159999</v>
      </c>
      <c r="J21" s="63">
        <v>83619.694561429991</v>
      </c>
      <c r="K21" s="63">
        <v>0</v>
      </c>
      <c r="L21" s="63">
        <v>0</v>
      </c>
      <c r="M21" s="63">
        <v>0</v>
      </c>
      <c r="N21" s="63">
        <v>0</v>
      </c>
      <c r="O21" s="64">
        <f>SUM(C21:N21)</f>
        <v>656392.15841379005</v>
      </c>
      <c r="P21" s="15"/>
      <c r="Q21" s="9"/>
      <c r="R21" s="9"/>
      <c r="S21" s="9"/>
      <c r="T21" s="9"/>
      <c r="U21" s="9"/>
      <c r="V21" s="9"/>
      <c r="W21" s="9"/>
      <c r="X21" s="9"/>
      <c r="Y21" s="9"/>
      <c r="Z21" s="9"/>
      <c r="AA21" s="9"/>
      <c r="AB21" s="9"/>
      <c r="AC21" s="9"/>
    </row>
    <row r="22" spans="2:29" s="14" customFormat="1" ht="15.75" customHeight="1" x14ac:dyDescent="0.25">
      <c r="B22" s="58" t="s">
        <v>52</v>
      </c>
      <c r="C22" s="63">
        <v>153865.78661313999</v>
      </c>
      <c r="D22" s="63">
        <v>152796.75789450001</v>
      </c>
      <c r="E22" s="63">
        <v>142318.11428116</v>
      </c>
      <c r="F22" s="63">
        <v>168026.85117899999</v>
      </c>
      <c r="G22" s="63">
        <v>188093.61127485</v>
      </c>
      <c r="H22" s="63">
        <v>195071.70213106001</v>
      </c>
      <c r="I22" s="63">
        <v>200760.57636737</v>
      </c>
      <c r="J22" s="63">
        <v>0</v>
      </c>
      <c r="K22" s="63">
        <v>0</v>
      </c>
      <c r="L22" s="63">
        <v>0</v>
      </c>
      <c r="M22" s="63">
        <v>0</v>
      </c>
      <c r="N22" s="63">
        <v>0</v>
      </c>
      <c r="O22" s="64">
        <f t="shared" si="1"/>
        <v>1200933.3997410801</v>
      </c>
      <c r="P22" s="15"/>
      <c r="Q22" s="9"/>
      <c r="R22" s="9"/>
      <c r="S22" s="9"/>
      <c r="T22" s="9"/>
      <c r="U22" s="9"/>
      <c r="V22" s="9"/>
      <c r="W22" s="9"/>
      <c r="X22" s="9"/>
      <c r="Y22" s="9"/>
      <c r="Z22" s="9"/>
      <c r="AA22" s="9"/>
      <c r="AB22" s="9"/>
      <c r="AC22" s="9"/>
    </row>
    <row r="23" spans="2:29" s="14" customFormat="1" ht="15.75" customHeight="1" x14ac:dyDescent="0.25">
      <c r="B23" s="58" t="s">
        <v>53</v>
      </c>
      <c r="C23" s="63">
        <v>55702.02098655</v>
      </c>
      <c r="D23" s="63">
        <v>56699.881914999998</v>
      </c>
      <c r="E23" s="63">
        <v>53343.525855</v>
      </c>
      <c r="F23" s="63">
        <v>56559.838673259997</v>
      </c>
      <c r="G23" s="63">
        <v>57501.923565999998</v>
      </c>
      <c r="H23" s="63">
        <v>58119.829184510003</v>
      </c>
      <c r="I23" s="63">
        <v>63986.673381449997</v>
      </c>
      <c r="J23" s="63">
        <v>66024.446877440001</v>
      </c>
      <c r="K23" s="63">
        <v>0</v>
      </c>
      <c r="L23" s="63">
        <v>0</v>
      </c>
      <c r="M23" s="63">
        <v>0</v>
      </c>
      <c r="N23" s="63">
        <v>0</v>
      </c>
      <c r="O23" s="64">
        <f t="shared" si="1"/>
        <v>467938.14043920999</v>
      </c>
      <c r="P23" s="15"/>
      <c r="Q23" s="9"/>
      <c r="R23" s="9"/>
      <c r="S23" s="9"/>
      <c r="T23" s="9"/>
      <c r="U23" s="9"/>
      <c r="V23" s="9"/>
      <c r="W23" s="9"/>
      <c r="X23" s="9"/>
      <c r="Y23" s="9"/>
      <c r="Z23" s="9"/>
      <c r="AA23" s="9"/>
      <c r="AB23" s="9"/>
      <c r="AC23" s="9"/>
    </row>
    <row r="24" spans="2:29" s="14" customFormat="1" ht="15.75" customHeight="1" x14ac:dyDescent="0.25">
      <c r="B24" s="58" t="s">
        <v>54</v>
      </c>
      <c r="C24" s="63">
        <v>68690.515582890002</v>
      </c>
      <c r="D24" s="63">
        <v>62276.50715926</v>
      </c>
      <c r="E24" s="63">
        <v>58460.322047920003</v>
      </c>
      <c r="F24" s="63">
        <v>65668.346506889997</v>
      </c>
      <c r="G24" s="63">
        <v>66653.716436429997</v>
      </c>
      <c r="H24" s="63">
        <v>66384.834878499998</v>
      </c>
      <c r="I24" s="63">
        <v>0</v>
      </c>
      <c r="J24" s="63">
        <v>0</v>
      </c>
      <c r="K24" s="63">
        <v>0</v>
      </c>
      <c r="L24" s="63">
        <v>0</v>
      </c>
      <c r="M24" s="63">
        <v>0</v>
      </c>
      <c r="N24" s="63">
        <v>0</v>
      </c>
      <c r="O24" s="64">
        <f t="shared" si="1"/>
        <v>388134.24261188996</v>
      </c>
      <c r="P24" s="15"/>
      <c r="Q24" s="9"/>
      <c r="R24" s="9"/>
      <c r="S24" s="9"/>
      <c r="T24" s="9"/>
      <c r="U24" s="9"/>
      <c r="V24" s="9"/>
      <c r="W24" s="9"/>
      <c r="X24" s="9"/>
      <c r="Y24" s="9"/>
      <c r="Z24" s="9"/>
      <c r="AA24" s="9"/>
      <c r="AB24" s="9"/>
      <c r="AC24" s="9"/>
    </row>
    <row r="25" spans="2:29" s="14" customFormat="1" ht="15.75" customHeight="1" x14ac:dyDescent="0.25">
      <c r="B25" s="58" t="s">
        <v>55</v>
      </c>
      <c r="C25" s="63">
        <v>25908.117672</v>
      </c>
      <c r="D25" s="63">
        <v>24534.546415000001</v>
      </c>
      <c r="E25" s="63">
        <v>24144.661903</v>
      </c>
      <c r="F25" s="63">
        <v>27019.945424000001</v>
      </c>
      <c r="G25" s="63">
        <v>26638.949047999999</v>
      </c>
      <c r="H25" s="63">
        <v>28380.702591000001</v>
      </c>
      <c r="I25" s="63">
        <v>26918.16689</v>
      </c>
      <c r="J25" s="63">
        <v>27616.745900000002</v>
      </c>
      <c r="K25" s="63">
        <v>0</v>
      </c>
      <c r="L25" s="63">
        <v>0</v>
      </c>
      <c r="M25" s="63">
        <v>0</v>
      </c>
      <c r="N25" s="63">
        <v>0</v>
      </c>
      <c r="O25" s="64">
        <f t="shared" si="1"/>
        <v>211161.83584300001</v>
      </c>
      <c r="P25" s="15"/>
      <c r="Q25" s="9"/>
      <c r="R25" s="9"/>
      <c r="S25" s="9"/>
      <c r="T25" s="9"/>
      <c r="U25" s="9"/>
      <c r="V25" s="9"/>
      <c r="W25" s="9"/>
      <c r="X25" s="9"/>
      <c r="Y25" s="9"/>
      <c r="Z25" s="9"/>
      <c r="AA25" s="9"/>
      <c r="AB25" s="9"/>
      <c r="AC25" s="9"/>
    </row>
    <row r="26" spans="2:29" s="14" customFormat="1" ht="15.75" customHeight="1" x14ac:dyDescent="0.25">
      <c r="B26" s="58" t="s">
        <v>56</v>
      </c>
      <c r="C26" s="63">
        <v>27476.857821090001</v>
      </c>
      <c r="D26" s="63">
        <v>25734.660951999998</v>
      </c>
      <c r="E26" s="63">
        <v>24638.264595000001</v>
      </c>
      <c r="F26" s="63">
        <v>26842.186321910001</v>
      </c>
      <c r="G26" s="63">
        <v>27705.083456799999</v>
      </c>
      <c r="H26" s="63">
        <v>28344.807634950001</v>
      </c>
      <c r="I26" s="63">
        <v>29640.515174439999</v>
      </c>
      <c r="J26" s="63">
        <v>30965.546491919999</v>
      </c>
      <c r="K26" s="63">
        <v>0</v>
      </c>
      <c r="L26" s="63">
        <v>0</v>
      </c>
      <c r="M26" s="63">
        <v>0</v>
      </c>
      <c r="N26" s="63">
        <v>0</v>
      </c>
      <c r="O26" s="64">
        <f t="shared" si="1"/>
        <v>221347.92244810998</v>
      </c>
      <c r="P26" s="15"/>
      <c r="Q26" s="9"/>
      <c r="R26" s="9"/>
      <c r="S26" s="9"/>
      <c r="T26" s="9"/>
      <c r="U26" s="9"/>
      <c r="V26" s="9"/>
      <c r="W26" s="9"/>
      <c r="X26" s="9"/>
      <c r="Y26" s="9"/>
      <c r="Z26" s="9"/>
      <c r="AA26" s="9"/>
      <c r="AB26" s="9"/>
      <c r="AC26" s="9"/>
    </row>
    <row r="27" spans="2:29" s="14" customFormat="1" ht="15.75" customHeight="1" x14ac:dyDescent="0.25">
      <c r="B27" s="58" t="s">
        <v>57</v>
      </c>
      <c r="C27" s="63">
        <v>43618.753561789999</v>
      </c>
      <c r="D27" s="63">
        <v>33881.241821000003</v>
      </c>
      <c r="E27" s="63">
        <v>30440.326054000001</v>
      </c>
      <c r="F27" s="63">
        <v>34433.434536629997</v>
      </c>
      <c r="G27" s="63">
        <v>34138.652010730002</v>
      </c>
      <c r="H27" s="63">
        <v>36455.45360796</v>
      </c>
      <c r="I27" s="63">
        <v>35857.136687309998</v>
      </c>
      <c r="J27" s="63">
        <v>34433.434536629997</v>
      </c>
      <c r="K27" s="63">
        <v>0</v>
      </c>
      <c r="L27" s="63">
        <v>0</v>
      </c>
      <c r="M27" s="63">
        <v>0</v>
      </c>
      <c r="N27" s="63">
        <v>0</v>
      </c>
      <c r="O27" s="64">
        <f t="shared" si="1"/>
        <v>283258.43281605002</v>
      </c>
      <c r="P27" s="15"/>
      <c r="Q27" s="9"/>
      <c r="R27" s="9"/>
      <c r="S27" s="9"/>
      <c r="T27" s="9"/>
      <c r="U27" s="9"/>
      <c r="V27" s="9"/>
      <c r="W27" s="9"/>
      <c r="X27" s="9"/>
      <c r="Y27" s="9"/>
      <c r="Z27" s="9"/>
      <c r="AA27" s="9"/>
      <c r="AB27" s="9"/>
      <c r="AC27" s="9"/>
    </row>
    <row r="28" spans="2:29" s="14" customFormat="1" ht="15.75" customHeight="1" x14ac:dyDescent="0.25">
      <c r="B28" s="58" t="s">
        <v>86</v>
      </c>
      <c r="C28" s="63">
        <v>252562.23416314</v>
      </c>
      <c r="D28" s="63">
        <v>234389.94828685001</v>
      </c>
      <c r="E28" s="63">
        <v>215552.49317341001</v>
      </c>
      <c r="F28" s="63">
        <v>245312.28762664998</v>
      </c>
      <c r="G28" s="63">
        <v>251381.30739266</v>
      </c>
      <c r="H28" s="63">
        <v>260030.76649849</v>
      </c>
      <c r="I28" s="63">
        <v>278110.47974295</v>
      </c>
      <c r="J28" s="63">
        <v>278060.94763397996</v>
      </c>
      <c r="K28" s="63">
        <v>0</v>
      </c>
      <c r="L28" s="63">
        <v>0</v>
      </c>
      <c r="M28" s="63">
        <v>0</v>
      </c>
      <c r="N28" s="63">
        <v>0</v>
      </c>
      <c r="O28" s="64">
        <f t="shared" si="1"/>
        <v>2015400.4645181298</v>
      </c>
      <c r="P28" s="15"/>
      <c r="Q28" s="9"/>
      <c r="R28" s="9"/>
      <c r="S28" s="9"/>
      <c r="T28" s="9"/>
      <c r="U28" s="9"/>
      <c r="V28" s="9"/>
      <c r="W28" s="9"/>
      <c r="X28" s="9"/>
      <c r="Y28" s="9"/>
      <c r="Z28" s="9"/>
      <c r="AA28" s="9"/>
      <c r="AB28" s="9"/>
      <c r="AC28" s="9"/>
    </row>
    <row r="29" spans="2:29" s="11" customFormat="1" ht="15.75" customHeight="1" x14ac:dyDescent="0.25">
      <c r="B29" s="58" t="s">
        <v>59</v>
      </c>
      <c r="C29" s="63">
        <v>19136.851493689999</v>
      </c>
      <c r="D29" s="63">
        <v>17031.965878430001</v>
      </c>
      <c r="E29" s="63">
        <v>17048.152259459999</v>
      </c>
      <c r="F29" s="63">
        <v>18988.35446499</v>
      </c>
      <c r="G29" s="63">
        <v>19855.22441585</v>
      </c>
      <c r="H29" s="63">
        <v>23250.689032120001</v>
      </c>
      <c r="I29" s="63">
        <v>25196.298464750002</v>
      </c>
      <c r="J29" s="63">
        <v>25903.906923049999</v>
      </c>
      <c r="K29" s="63">
        <v>25198.155970150001</v>
      </c>
      <c r="L29" s="63">
        <v>0</v>
      </c>
      <c r="M29" s="63">
        <v>0</v>
      </c>
      <c r="N29" s="63">
        <v>0</v>
      </c>
      <c r="O29" s="64">
        <f t="shared" si="1"/>
        <v>191609.59890248999</v>
      </c>
      <c r="P29" s="12"/>
      <c r="Q29" s="9"/>
      <c r="R29" s="9"/>
      <c r="S29" s="9"/>
      <c r="T29" s="9"/>
      <c r="U29" s="9"/>
      <c r="V29" s="9"/>
      <c r="W29" s="9"/>
      <c r="X29" s="9"/>
      <c r="Y29" s="9"/>
      <c r="Z29" s="9"/>
      <c r="AA29" s="9"/>
      <c r="AB29" s="9"/>
      <c r="AC29" s="9"/>
    </row>
    <row r="30" spans="2:29" s="14" customFormat="1" ht="15.75" customHeight="1" x14ac:dyDescent="0.25">
      <c r="B30" s="58" t="s">
        <v>60</v>
      </c>
      <c r="C30" s="63">
        <v>88016.266692000005</v>
      </c>
      <c r="D30" s="63">
        <v>80312.845553000006</v>
      </c>
      <c r="E30" s="63">
        <v>77702.767880999992</v>
      </c>
      <c r="F30" s="63">
        <v>87642.341484999997</v>
      </c>
      <c r="G30" s="63">
        <v>89826.603099999993</v>
      </c>
      <c r="H30" s="63">
        <v>93217.063110999996</v>
      </c>
      <c r="I30" s="63">
        <v>98375.482535000003</v>
      </c>
      <c r="J30" s="63">
        <v>99721.70723</v>
      </c>
      <c r="K30" s="63">
        <v>0</v>
      </c>
      <c r="L30" s="63">
        <v>0</v>
      </c>
      <c r="M30" s="63">
        <v>0</v>
      </c>
      <c r="N30" s="63">
        <v>0</v>
      </c>
      <c r="O30" s="64">
        <f t="shared" si="1"/>
        <v>714815.07758700009</v>
      </c>
      <c r="P30" s="12"/>
      <c r="Q30" s="9"/>
      <c r="R30" s="9"/>
      <c r="S30" s="9"/>
      <c r="T30" s="9"/>
      <c r="U30" s="9"/>
      <c r="V30" s="9"/>
      <c r="W30" s="9"/>
      <c r="X30" s="9"/>
      <c r="Y30" s="9"/>
      <c r="Z30" s="9"/>
      <c r="AA30" s="9"/>
      <c r="AB30" s="9"/>
      <c r="AC30" s="9"/>
    </row>
    <row r="31" spans="2:29" s="14" customFormat="1" ht="15.75" customHeight="1" x14ac:dyDescent="0.25">
      <c r="B31" s="58" t="s">
        <v>61</v>
      </c>
      <c r="C31" s="63">
        <v>15966.197015760001</v>
      </c>
      <c r="D31" s="63">
        <v>16443.893940779999</v>
      </c>
      <c r="E31" s="63">
        <v>14093.73017264</v>
      </c>
      <c r="F31" s="63">
        <v>16785.535099680001</v>
      </c>
      <c r="G31" s="63">
        <v>14835.389293350001</v>
      </c>
      <c r="H31" s="63">
        <v>15456.100140889999</v>
      </c>
      <c r="I31" s="63">
        <v>15948.204588620001</v>
      </c>
      <c r="J31" s="63">
        <v>17843.6642933</v>
      </c>
      <c r="K31" s="63">
        <v>0</v>
      </c>
      <c r="L31" s="63">
        <v>0</v>
      </c>
      <c r="M31" s="63">
        <v>0</v>
      </c>
      <c r="N31" s="63">
        <v>0</v>
      </c>
      <c r="O31" s="64">
        <f t="shared" si="1"/>
        <v>127372.71454502</v>
      </c>
      <c r="P31" s="12"/>
      <c r="Q31" s="9"/>
      <c r="R31" s="9"/>
      <c r="S31" s="9"/>
      <c r="T31" s="9"/>
      <c r="U31" s="9"/>
      <c r="V31" s="9"/>
      <c r="W31" s="9"/>
      <c r="X31" s="9"/>
      <c r="Y31" s="9"/>
      <c r="Z31" s="9"/>
      <c r="AA31" s="9"/>
      <c r="AB31" s="9"/>
      <c r="AC31" s="9"/>
    </row>
    <row r="32" spans="2:29" ht="22.5" customHeight="1" x14ac:dyDescent="0.2">
      <c r="B32" s="65" t="s">
        <v>82</v>
      </c>
      <c r="C32" s="66">
        <f t="shared" ref="C32:O32" si="2">SUM(C8:C31)</f>
        <v>3370791.0795768178</v>
      </c>
      <c r="D32" s="66">
        <f t="shared" si="2"/>
        <v>3067849.6580703892</v>
      </c>
      <c r="E32" s="66">
        <f t="shared" si="2"/>
        <v>2929071.315462817</v>
      </c>
      <c r="F32" s="66">
        <f t="shared" si="2"/>
        <v>3284092.6333312248</v>
      </c>
      <c r="G32" s="66">
        <f t="shared" si="2"/>
        <v>3346953.2408471704</v>
      </c>
      <c r="H32" s="66">
        <f t="shared" si="2"/>
        <v>3471232.3868228346</v>
      </c>
      <c r="I32" s="66">
        <f t="shared" si="2"/>
        <v>3555893.0171935195</v>
      </c>
      <c r="J32" s="66">
        <f t="shared" si="2"/>
        <v>2119549.1382352794</v>
      </c>
      <c r="K32" s="66">
        <f t="shared" si="2"/>
        <v>117085.61853154999</v>
      </c>
      <c r="L32" s="66">
        <f t="shared" si="2"/>
        <v>0</v>
      </c>
      <c r="M32" s="66">
        <f t="shared" si="2"/>
        <v>0</v>
      </c>
      <c r="N32" s="66">
        <f t="shared" si="2"/>
        <v>0</v>
      </c>
      <c r="O32" s="66">
        <f t="shared" si="2"/>
        <v>25262518.088071603</v>
      </c>
      <c r="P32" s="12"/>
      <c r="Q32" s="9"/>
      <c r="R32" s="9"/>
      <c r="S32" s="9"/>
      <c r="T32" s="9"/>
      <c r="U32" s="9"/>
      <c r="V32" s="9"/>
      <c r="W32" s="9"/>
      <c r="X32" s="9"/>
      <c r="Y32" s="9"/>
      <c r="Z32" s="9"/>
      <c r="AA32" s="9"/>
      <c r="AB32" s="9"/>
      <c r="AC32" s="9"/>
    </row>
    <row r="33" spans="2:15" ht="16.5" customHeight="1" x14ac:dyDescent="0.25">
      <c r="B33" s="83" t="s">
        <v>83</v>
      </c>
      <c r="C33" s="60"/>
      <c r="D33" s="60"/>
      <c r="E33" s="60"/>
      <c r="F33" s="61"/>
      <c r="G33" s="61"/>
      <c r="H33" s="61"/>
      <c r="I33" s="61"/>
      <c r="J33" s="61"/>
      <c r="K33" s="61"/>
      <c r="L33" s="61"/>
      <c r="M33" s="61"/>
      <c r="N33" s="61"/>
      <c r="O33" s="61"/>
    </row>
    <row r="34" spans="2:15" ht="12.75" customHeight="1" x14ac:dyDescent="0.2">
      <c r="B34" s="84" t="s">
        <v>84</v>
      </c>
      <c r="C34" s="81"/>
      <c r="D34" s="81"/>
      <c r="E34" s="81"/>
      <c r="F34" s="81"/>
      <c r="G34" s="81"/>
      <c r="H34" s="81"/>
      <c r="I34" s="81"/>
      <c r="J34" s="81"/>
      <c r="K34" s="81"/>
      <c r="L34" s="81"/>
      <c r="M34" s="81"/>
      <c r="N34" s="81"/>
      <c r="O34" s="81"/>
    </row>
    <row r="35" spans="2:15" ht="14.25" customHeight="1" thickBot="1" x14ac:dyDescent="0.3">
      <c r="B35" s="85" t="s">
        <v>13</v>
      </c>
      <c r="C35" s="51"/>
      <c r="D35" s="32"/>
      <c r="E35" s="32"/>
      <c r="F35" s="32"/>
      <c r="G35" s="32"/>
      <c r="H35" s="32"/>
      <c r="I35" s="32"/>
      <c r="J35" s="32"/>
      <c r="K35" s="32"/>
      <c r="L35" s="32"/>
      <c r="M35" s="32"/>
      <c r="N35" s="32"/>
      <c r="O35" s="32"/>
    </row>
    <row r="36" spans="2:15" ht="14.25" customHeight="1" x14ac:dyDescent="0.25">
      <c r="B36" s="33" t="s">
        <v>29</v>
      </c>
      <c r="C36" s="82"/>
      <c r="D36" s="61"/>
      <c r="E36" s="82"/>
      <c r="F36" s="82"/>
      <c r="G36" s="61"/>
      <c r="H36" s="61"/>
      <c r="I36" s="61"/>
      <c r="J36" s="61"/>
      <c r="K36" s="61"/>
      <c r="L36" s="61"/>
      <c r="M36" s="61"/>
      <c r="N36" s="61"/>
      <c r="O36" s="61"/>
    </row>
    <row r="37" spans="2:15" x14ac:dyDescent="0.2">
      <c r="C37" s="17"/>
      <c r="D37" s="17"/>
      <c r="E37" s="17"/>
      <c r="F37" s="17"/>
      <c r="G37" s="17"/>
      <c r="H37" s="17"/>
      <c r="I37" s="17"/>
      <c r="J37" s="17"/>
      <c r="K37" s="17"/>
      <c r="L37" s="17"/>
      <c r="M37" s="17"/>
      <c r="N37" s="17"/>
      <c r="O37" s="17"/>
    </row>
    <row r="38" spans="2:15" x14ac:dyDescent="0.2">
      <c r="C38" s="17"/>
      <c r="D38" s="17"/>
      <c r="E38" s="17"/>
      <c r="J38" s="102"/>
    </row>
    <row r="39" spans="2:15" ht="20.25" x14ac:dyDescent="0.3">
      <c r="C39" s="17"/>
      <c r="D39" s="17"/>
      <c r="E39" s="17"/>
      <c r="F39" s="18"/>
      <c r="J39" s="102"/>
    </row>
    <row r="40" spans="2:15" x14ac:dyDescent="0.2">
      <c r="C40" s="17"/>
      <c r="D40" s="17"/>
      <c r="E40" s="17"/>
    </row>
    <row r="41" spans="2:15" ht="14.25" x14ac:dyDescent="0.2">
      <c r="C41" s="19"/>
      <c r="D41" s="19"/>
      <c r="E41" s="19"/>
    </row>
    <row r="42" spans="2:15" x14ac:dyDescent="0.2">
      <c r="C42" s="20"/>
      <c r="D42" s="20"/>
      <c r="E42" s="20"/>
    </row>
    <row r="43" spans="2:15" x14ac:dyDescent="0.2">
      <c r="C43" s="21"/>
      <c r="D43" s="17"/>
      <c r="E43" s="17"/>
    </row>
    <row r="44" spans="2:15" x14ac:dyDescent="0.2">
      <c r="C44" s="17"/>
      <c r="D44" s="17"/>
      <c r="E44" s="17"/>
    </row>
    <row r="45" spans="2:15" x14ac:dyDescent="0.2">
      <c r="C45" s="17"/>
      <c r="D45" s="17"/>
      <c r="E45" s="17"/>
    </row>
    <row r="46" spans="2:15" x14ac:dyDescent="0.2">
      <c r="C46" s="17"/>
      <c r="D46" s="17"/>
      <c r="E46" s="17"/>
    </row>
    <row r="47" spans="2:15" x14ac:dyDescent="0.2">
      <c r="C47" s="22"/>
      <c r="D47" s="22"/>
      <c r="E47" s="22"/>
    </row>
    <row r="48" spans="2:15" x14ac:dyDescent="0.2">
      <c r="C48" s="21"/>
      <c r="D48" s="21"/>
      <c r="E48" s="21"/>
    </row>
  </sheetData>
  <mergeCells count="3">
    <mergeCell ref="B2:O2"/>
    <mergeCell ref="B3:O3"/>
    <mergeCell ref="B4:O4"/>
  </mergeCells>
  <phoneticPr fontId="39" type="noConversion"/>
  <dataValidations disablePrompts="1" count="1">
    <dataValidation type="custom" errorStyle="warning" allowBlank="1" showInputMessage="1" showErrorMessage="1" errorTitle="error" error="warning" sqref="C36:G36" xr:uid="{00000000-0002-0000-0000-000000000000}">
      <formula1>"&gt;10"</formula1>
    </dataValidation>
  </dataValidations>
  <printOptions horizontalCentered="1" verticalCentered="1"/>
  <pageMargins left="0" right="0" top="0" bottom="0" header="0" footer="0"/>
  <pageSetup paperSize="9" scale="68"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B1:Q48"/>
  <sheetViews>
    <sheetView showGridLines="0" zoomScale="85" zoomScaleNormal="85" workbookViewId="0">
      <selection activeCell="A6" sqref="A6"/>
    </sheetView>
  </sheetViews>
  <sheetFormatPr baseColWidth="10" defaultRowHeight="12.75" x14ac:dyDescent="0.2"/>
  <cols>
    <col min="1" max="1" width="1.28515625" customWidth="1"/>
    <col min="2" max="2" width="26.85546875" customWidth="1"/>
    <col min="3" max="15" width="15" customWidth="1"/>
  </cols>
  <sheetData>
    <row r="1" spans="2:17" ht="21" customHeight="1" x14ac:dyDescent="0.25">
      <c r="B1" s="1"/>
      <c r="C1" s="2"/>
      <c r="D1" s="3"/>
      <c r="E1" s="3"/>
      <c r="F1" s="3"/>
      <c r="G1" s="3"/>
      <c r="H1" s="3"/>
      <c r="I1" s="3"/>
      <c r="K1" s="4"/>
      <c r="N1" s="95" t="str">
        <f>+IIBB!N1</f>
        <v>Última actualización</v>
      </c>
      <c r="O1" s="96">
        <f>+IIBB!O1</f>
        <v>46297</v>
      </c>
    </row>
    <row r="2" spans="2:17" ht="21" customHeight="1" x14ac:dyDescent="0.3">
      <c r="B2" s="105" t="s">
        <v>1</v>
      </c>
      <c r="C2" s="105"/>
      <c r="D2" s="105"/>
      <c r="E2" s="105"/>
      <c r="F2" s="105"/>
      <c r="G2" s="105"/>
      <c r="H2" s="105"/>
      <c r="I2" s="105"/>
      <c r="J2" s="105"/>
      <c r="K2" s="105"/>
      <c r="L2" s="105"/>
      <c r="M2" s="105"/>
      <c r="N2" s="105"/>
      <c r="O2" s="105"/>
    </row>
    <row r="3" spans="2:17" ht="21" customHeight="1" x14ac:dyDescent="0.3">
      <c r="B3" s="106">
        <f>+IIBB!B3</f>
        <v>2026</v>
      </c>
      <c r="C3" s="107"/>
      <c r="D3" s="107"/>
      <c r="E3" s="107"/>
      <c r="F3" s="107"/>
      <c r="G3" s="107"/>
      <c r="H3" s="107"/>
      <c r="I3" s="107"/>
      <c r="J3" s="107"/>
      <c r="K3" s="107"/>
      <c r="L3" s="107"/>
      <c r="M3" s="107"/>
      <c r="N3" s="107"/>
      <c r="O3" s="107"/>
    </row>
    <row r="4" spans="2:17" ht="21" customHeight="1" x14ac:dyDescent="0.25">
      <c r="B4" s="108" t="s">
        <v>6</v>
      </c>
      <c r="C4" s="108"/>
      <c r="D4" s="108"/>
      <c r="E4" s="108"/>
      <c r="F4" s="108"/>
      <c r="G4" s="108"/>
      <c r="H4" s="108"/>
      <c r="I4" s="108"/>
      <c r="J4" s="108"/>
      <c r="K4" s="108"/>
      <c r="L4" s="108"/>
      <c r="M4" s="108"/>
      <c r="N4" s="108"/>
      <c r="O4" s="108"/>
    </row>
    <row r="5" spans="2:17" ht="21" customHeight="1" x14ac:dyDescent="0.4">
      <c r="C5" s="5"/>
      <c r="D5" s="6"/>
      <c r="E5" s="6"/>
      <c r="F5" s="6"/>
      <c r="G5" s="6"/>
      <c r="H5" s="7"/>
      <c r="I5" s="6"/>
    </row>
    <row r="6" spans="2:17" ht="30" customHeight="1" x14ac:dyDescent="0.2">
      <c r="B6" s="62" t="s">
        <v>30</v>
      </c>
      <c r="C6" s="62" t="s">
        <v>71</v>
      </c>
      <c r="D6" s="62" t="s">
        <v>70</v>
      </c>
      <c r="E6" s="62" t="s">
        <v>72</v>
      </c>
      <c r="F6" s="62" t="s">
        <v>73</v>
      </c>
      <c r="G6" s="62" t="s">
        <v>74</v>
      </c>
      <c r="H6" s="62" t="s">
        <v>75</v>
      </c>
      <c r="I6" s="62" t="s">
        <v>76</v>
      </c>
      <c r="J6" s="62" t="s">
        <v>77</v>
      </c>
      <c r="K6" s="62" t="s">
        <v>78</v>
      </c>
      <c r="L6" s="62" t="s">
        <v>79</v>
      </c>
      <c r="M6" s="62" t="s">
        <v>80</v>
      </c>
      <c r="N6" s="62" t="s">
        <v>81</v>
      </c>
      <c r="O6" s="62" t="s">
        <v>82</v>
      </c>
    </row>
    <row r="7" spans="2:17" s="8" customFormat="1" ht="15" hidden="1" customHeight="1" x14ac:dyDescent="0.7">
      <c r="B7"/>
      <c r="C7"/>
      <c r="D7"/>
      <c r="E7"/>
      <c r="F7"/>
      <c r="G7"/>
      <c r="H7"/>
      <c r="I7"/>
      <c r="J7"/>
      <c r="K7"/>
      <c r="L7"/>
      <c r="M7"/>
      <c r="N7"/>
      <c r="O7"/>
    </row>
    <row r="8" spans="2:17" s="11" customFormat="1" ht="15.75" customHeight="1" x14ac:dyDescent="0.25">
      <c r="B8" s="58" t="s">
        <v>87</v>
      </c>
      <c r="C8" s="63">
        <v>184080.8</v>
      </c>
      <c r="D8" s="63">
        <v>67615.7</v>
      </c>
      <c r="E8" s="63">
        <v>67899.100000000006</v>
      </c>
      <c r="F8" s="63">
        <v>70713.5</v>
      </c>
      <c r="G8" s="63">
        <v>78150.3</v>
      </c>
      <c r="H8" s="63">
        <v>76143.3</v>
      </c>
      <c r="I8" s="63">
        <v>80207.5</v>
      </c>
      <c r="J8" s="63">
        <v>78469.100000000006</v>
      </c>
      <c r="K8" s="63">
        <v>0</v>
      </c>
      <c r="L8" s="63">
        <v>0</v>
      </c>
      <c r="M8" s="63">
        <v>0</v>
      </c>
      <c r="N8" s="63">
        <v>0</v>
      </c>
      <c r="O8" s="64">
        <f t="shared" ref="O8" si="0">SUM(C8:N8)</f>
        <v>703279.29999999993</v>
      </c>
      <c r="P8" s="9"/>
      <c r="Q8" s="10"/>
    </row>
    <row r="9" spans="2:17" s="11" customFormat="1" ht="15.75" customHeight="1" x14ac:dyDescent="0.25">
      <c r="B9" s="58" t="s">
        <v>39</v>
      </c>
      <c r="C9" s="63">
        <v>26695.321542420672</v>
      </c>
      <c r="D9" s="63">
        <v>177086.64478417134</v>
      </c>
      <c r="E9" s="63">
        <v>129891.38239586934</v>
      </c>
      <c r="F9" s="63">
        <v>96687.897220795378</v>
      </c>
      <c r="G9" s="63">
        <v>30836.735209690192</v>
      </c>
      <c r="H9" s="63">
        <v>150011.96770128442</v>
      </c>
      <c r="I9" s="63">
        <v>31286.510499144741</v>
      </c>
      <c r="J9" s="63">
        <v>0</v>
      </c>
      <c r="K9" s="63">
        <v>0</v>
      </c>
      <c r="L9" s="63">
        <v>0</v>
      </c>
      <c r="M9" s="63">
        <v>0</v>
      </c>
      <c r="N9" s="63">
        <v>0</v>
      </c>
      <c r="O9" s="64">
        <f>SUM(C9:N9)</f>
        <v>642496.45935337618</v>
      </c>
      <c r="P9" s="9"/>
      <c r="Q9" s="10"/>
    </row>
    <row r="10" spans="2:17" s="14" customFormat="1" ht="15.75" customHeight="1" x14ac:dyDescent="0.25">
      <c r="B10" s="58" t="s">
        <v>40</v>
      </c>
      <c r="C10" s="63">
        <v>272.52248699</v>
      </c>
      <c r="D10" s="63">
        <v>700.51361443999997</v>
      </c>
      <c r="E10" s="63">
        <v>1962.23930647</v>
      </c>
      <c r="F10" s="63">
        <v>1483.14847646</v>
      </c>
      <c r="G10" s="63">
        <v>867.19720608</v>
      </c>
      <c r="H10" s="63">
        <v>657.73305914000002</v>
      </c>
      <c r="I10" s="63">
        <v>1158.0564244899999</v>
      </c>
      <c r="J10" s="63">
        <v>491.06706771</v>
      </c>
      <c r="K10" s="63">
        <v>292.03404754000002</v>
      </c>
      <c r="L10" s="63">
        <v>0</v>
      </c>
      <c r="M10" s="63">
        <v>0</v>
      </c>
      <c r="N10" s="63">
        <v>0</v>
      </c>
      <c r="O10" s="64">
        <f t="shared" ref="O10:O31" si="1">SUM(C10:N10)</f>
        <v>7884.5116893199993</v>
      </c>
      <c r="P10" s="12"/>
      <c r="Q10" s="13"/>
    </row>
    <row r="11" spans="2:17" s="14" customFormat="1" ht="15.75" customHeight="1" x14ac:dyDescent="0.25">
      <c r="B11" s="58" t="s">
        <v>41</v>
      </c>
      <c r="C11" s="63">
        <v>45075.523580000001</v>
      </c>
      <c r="D11" s="63">
        <v>85744.066921999998</v>
      </c>
      <c r="E11" s="63">
        <v>61322.928515</v>
      </c>
      <c r="F11" s="63">
        <v>56237.192615</v>
      </c>
      <c r="G11" s="63">
        <v>91294.381301999994</v>
      </c>
      <c r="H11" s="63">
        <v>44508.857899000002</v>
      </c>
      <c r="I11" s="63">
        <v>29123.031967999999</v>
      </c>
      <c r="J11" s="63">
        <v>27650.898407000001</v>
      </c>
      <c r="K11" s="63">
        <v>0</v>
      </c>
      <c r="L11" s="63">
        <v>0</v>
      </c>
      <c r="M11" s="63">
        <v>0</v>
      </c>
      <c r="N11" s="63">
        <v>0</v>
      </c>
      <c r="O11" s="64">
        <f t="shared" si="1"/>
        <v>440956.88120800001</v>
      </c>
      <c r="P11" s="12"/>
      <c r="Q11" s="13"/>
    </row>
    <row r="12" spans="2:17" s="14" customFormat="1" ht="15.75" customHeight="1" x14ac:dyDescent="0.25">
      <c r="B12" s="58" t="s">
        <v>42</v>
      </c>
      <c r="C12" s="63">
        <v>295.86017554000006</v>
      </c>
      <c r="D12" s="63">
        <v>310.06834559000004</v>
      </c>
      <c r="E12" s="63">
        <v>718.13710586999991</v>
      </c>
      <c r="F12" s="63">
        <v>5275.9158518099985</v>
      </c>
      <c r="G12" s="63">
        <v>525.78507986999989</v>
      </c>
      <c r="H12" s="63">
        <v>1526.8833080000002</v>
      </c>
      <c r="I12" s="63">
        <v>501.21049586999999</v>
      </c>
      <c r="J12" s="63">
        <v>0</v>
      </c>
      <c r="K12" s="63">
        <v>0</v>
      </c>
      <c r="L12" s="63">
        <v>0</v>
      </c>
      <c r="M12" s="63">
        <v>0</v>
      </c>
      <c r="N12" s="63">
        <v>0</v>
      </c>
      <c r="O12" s="64">
        <f t="shared" si="1"/>
        <v>9153.8603625499982</v>
      </c>
      <c r="P12" s="12"/>
      <c r="Q12" s="13"/>
    </row>
    <row r="13" spans="2:17" s="14" customFormat="1" ht="15.75" customHeight="1" x14ac:dyDescent="0.25">
      <c r="B13" s="58" t="s">
        <v>43</v>
      </c>
      <c r="C13" s="63">
        <v>42.127873630000003</v>
      </c>
      <c r="D13" s="63">
        <v>109.481298</v>
      </c>
      <c r="E13" s="63">
        <v>155.71711999999999</v>
      </c>
      <c r="F13" s="63">
        <v>237.63898186</v>
      </c>
      <c r="G13" s="63">
        <v>257.83435545999998</v>
      </c>
      <c r="H13" s="63">
        <v>217.5334963</v>
      </c>
      <c r="I13" s="63">
        <v>78.453226959999995</v>
      </c>
      <c r="J13" s="63">
        <v>35.931433910000003</v>
      </c>
      <c r="K13" s="63">
        <v>0</v>
      </c>
      <c r="L13" s="63">
        <v>0</v>
      </c>
      <c r="M13" s="63">
        <v>0</v>
      </c>
      <c r="N13" s="63">
        <v>0</v>
      </c>
      <c r="O13" s="64">
        <f t="shared" si="1"/>
        <v>1134.71778612</v>
      </c>
      <c r="P13" s="12"/>
      <c r="Q13" s="13"/>
    </row>
    <row r="14" spans="2:17" s="14" customFormat="1" ht="15.75" customHeight="1" x14ac:dyDescent="0.25">
      <c r="B14" s="59" t="s">
        <v>44</v>
      </c>
      <c r="C14" s="63">
        <v>30.51375346</v>
      </c>
      <c r="D14" s="63">
        <v>21.953542070000001</v>
      </c>
      <c r="E14" s="63">
        <v>27.938499499999999</v>
      </c>
      <c r="F14" s="63">
        <v>47.358092689999999</v>
      </c>
      <c r="G14" s="63">
        <v>127.85455177</v>
      </c>
      <c r="H14" s="63">
        <v>120.65745720999999</v>
      </c>
      <c r="I14" s="63">
        <v>59.592228499999997</v>
      </c>
      <c r="J14" s="63">
        <v>38.95595977</v>
      </c>
      <c r="K14" s="63">
        <v>43</v>
      </c>
      <c r="L14" s="63">
        <v>0</v>
      </c>
      <c r="M14" s="63">
        <v>0</v>
      </c>
      <c r="N14" s="63">
        <v>0</v>
      </c>
      <c r="O14" s="64">
        <f t="shared" si="1"/>
        <v>517.82408496999994</v>
      </c>
      <c r="P14" s="12"/>
      <c r="Q14" s="13"/>
    </row>
    <row r="15" spans="2:17" s="14" customFormat="1" ht="15.75" customHeight="1" x14ac:dyDescent="0.25">
      <c r="B15" s="58" t="s">
        <v>45</v>
      </c>
      <c r="C15" s="63">
        <v>2777.2340290000002</v>
      </c>
      <c r="D15" s="63">
        <v>21947.150063000001</v>
      </c>
      <c r="E15" s="63">
        <v>6351.9416309999997</v>
      </c>
      <c r="F15" s="63">
        <v>11384.357645</v>
      </c>
      <c r="G15" s="63">
        <v>29765.719996</v>
      </c>
      <c r="H15" s="63">
        <v>12586.459045</v>
      </c>
      <c r="I15" s="63">
        <v>13952.934723</v>
      </c>
      <c r="J15" s="63">
        <v>12643.236992</v>
      </c>
      <c r="K15" s="63">
        <v>0</v>
      </c>
      <c r="L15" s="63">
        <v>0</v>
      </c>
      <c r="M15" s="63">
        <v>0</v>
      </c>
      <c r="N15" s="63">
        <v>0</v>
      </c>
      <c r="O15" s="64">
        <f t="shared" si="1"/>
        <v>111409.034124</v>
      </c>
      <c r="P15" s="12"/>
      <c r="Q15" s="13"/>
    </row>
    <row r="16" spans="2:17" s="14" customFormat="1" ht="15.75" customHeight="1" x14ac:dyDescent="0.25">
      <c r="B16" s="58" t="s">
        <v>46</v>
      </c>
      <c r="C16" s="63">
        <v>53.696130689999997</v>
      </c>
      <c r="D16" s="63">
        <v>51.507627390000003</v>
      </c>
      <c r="E16" s="63">
        <v>106.6519598</v>
      </c>
      <c r="F16" s="63">
        <v>90.597546010000002</v>
      </c>
      <c r="G16" s="63">
        <v>157.41854094999999</v>
      </c>
      <c r="H16" s="63">
        <v>166.92977987</v>
      </c>
      <c r="I16" s="63">
        <v>154.14612296999999</v>
      </c>
      <c r="J16" s="63">
        <v>117.94390326999999</v>
      </c>
      <c r="K16" s="63">
        <v>168.860007</v>
      </c>
      <c r="L16" s="63">
        <v>0</v>
      </c>
      <c r="M16" s="63">
        <v>0</v>
      </c>
      <c r="N16" s="63">
        <v>0</v>
      </c>
      <c r="O16" s="64">
        <f t="shared" si="1"/>
        <v>1067.7516179499999</v>
      </c>
      <c r="P16" s="12"/>
      <c r="Q16" s="13"/>
    </row>
    <row r="17" spans="2:17" s="14" customFormat="1" ht="15.75" customHeight="1" x14ac:dyDescent="0.25">
      <c r="B17" s="58" t="s">
        <v>47</v>
      </c>
      <c r="C17" s="63">
        <v>1444.9843189999999</v>
      </c>
      <c r="D17" s="63">
        <v>2770.0879329999998</v>
      </c>
      <c r="E17" s="63">
        <v>2784.6448540000001</v>
      </c>
      <c r="F17" s="63">
        <v>809.55619899999999</v>
      </c>
      <c r="G17" s="63">
        <v>466.65215699999999</v>
      </c>
      <c r="H17" s="63">
        <v>585.15436099999999</v>
      </c>
      <c r="I17" s="63">
        <v>689.96657100000004</v>
      </c>
      <c r="J17" s="63">
        <v>734.699028</v>
      </c>
      <c r="K17" s="63">
        <v>0</v>
      </c>
      <c r="L17" s="63">
        <v>0</v>
      </c>
      <c r="M17" s="63">
        <v>0</v>
      </c>
      <c r="N17" s="63">
        <v>0</v>
      </c>
      <c r="O17" s="64">
        <f t="shared" si="1"/>
        <v>10285.745422</v>
      </c>
      <c r="P17" s="12"/>
      <c r="Q17" s="13"/>
    </row>
    <row r="18" spans="2:17" s="11" customFormat="1" ht="15.75" customHeight="1" x14ac:dyDescent="0.25">
      <c r="B18" s="58" t="s">
        <v>48</v>
      </c>
      <c r="C18" s="63">
        <v>603.31670843999996</v>
      </c>
      <c r="D18" s="63">
        <v>440.43229886</v>
      </c>
      <c r="E18" s="63">
        <v>1489.88057652</v>
      </c>
      <c r="F18" s="63">
        <v>7765.8284778300003</v>
      </c>
      <c r="G18" s="63">
        <v>4018.6921661000001</v>
      </c>
      <c r="H18" s="63">
        <v>4455.1753705299998</v>
      </c>
      <c r="I18" s="63">
        <v>4948.16676284</v>
      </c>
      <c r="J18" s="63">
        <v>0</v>
      </c>
      <c r="K18" s="63">
        <v>0</v>
      </c>
      <c r="L18" s="63">
        <v>0</v>
      </c>
      <c r="M18" s="63">
        <v>0</v>
      </c>
      <c r="N18" s="63">
        <v>0</v>
      </c>
      <c r="O18" s="64">
        <f t="shared" si="1"/>
        <v>23721.492361119999</v>
      </c>
      <c r="P18" s="9"/>
      <c r="Q18" s="10"/>
    </row>
    <row r="19" spans="2:17" s="14" customFormat="1" ht="15.75" customHeight="1" x14ac:dyDescent="0.25">
      <c r="B19" s="58" t="s">
        <v>49</v>
      </c>
      <c r="C19" s="63">
        <v>177.77756762000001</v>
      </c>
      <c r="D19" s="63">
        <v>331.47542935000001</v>
      </c>
      <c r="E19" s="63">
        <v>1204.5789452899999</v>
      </c>
      <c r="F19" s="63">
        <v>506.49486937</v>
      </c>
      <c r="G19" s="63">
        <v>293.11490066999994</v>
      </c>
      <c r="H19" s="63">
        <v>270.88436797000003</v>
      </c>
      <c r="I19" s="63">
        <v>229.44345608</v>
      </c>
      <c r="J19" s="63">
        <v>258.17669216000002</v>
      </c>
      <c r="K19" s="63">
        <v>0</v>
      </c>
      <c r="L19" s="63">
        <v>0</v>
      </c>
      <c r="M19" s="63">
        <v>0</v>
      </c>
      <c r="N19" s="63">
        <v>0</v>
      </c>
      <c r="O19" s="64">
        <f t="shared" si="1"/>
        <v>3271.9462285099994</v>
      </c>
      <c r="P19" s="12"/>
      <c r="Q19" s="13"/>
    </row>
    <row r="20" spans="2:17" s="14" customFormat="1" ht="15.75" customHeight="1" x14ac:dyDescent="0.25">
      <c r="B20" s="58" t="s">
        <v>50</v>
      </c>
      <c r="C20" s="63">
        <v>2083.6220026999999</v>
      </c>
      <c r="D20" s="63">
        <v>23855.459072000001</v>
      </c>
      <c r="E20" s="63">
        <v>6685.7805257999999</v>
      </c>
      <c r="F20" s="63">
        <v>5994.3560237000002</v>
      </c>
      <c r="G20" s="63">
        <v>2742.9332244000002</v>
      </c>
      <c r="H20" s="63">
        <v>5982.7230890000001</v>
      </c>
      <c r="I20" s="63">
        <v>2914.0033167000001</v>
      </c>
      <c r="J20" s="63">
        <v>6080.1966034999996</v>
      </c>
      <c r="K20" s="63">
        <v>0</v>
      </c>
      <c r="L20" s="63">
        <v>0</v>
      </c>
      <c r="M20" s="63">
        <v>0</v>
      </c>
      <c r="N20" s="63">
        <v>0</v>
      </c>
      <c r="O20" s="64">
        <f t="shared" si="1"/>
        <v>56339.073857800002</v>
      </c>
      <c r="P20" s="12"/>
      <c r="Q20" s="13"/>
    </row>
    <row r="21" spans="2:17" s="14" customFormat="1" ht="15.75" customHeight="1" x14ac:dyDescent="0.25">
      <c r="B21" s="58" t="s">
        <v>51</v>
      </c>
      <c r="C21" s="63">
        <v>3004.0058206599997</v>
      </c>
      <c r="D21" s="63">
        <v>2522.6775955399999</v>
      </c>
      <c r="E21" s="63">
        <v>1172.27233858</v>
      </c>
      <c r="F21" s="63">
        <v>678.59135564999997</v>
      </c>
      <c r="G21" s="63">
        <v>534.69132932000002</v>
      </c>
      <c r="H21" s="63">
        <v>633.05421321000006</v>
      </c>
      <c r="I21" s="63">
        <v>1420.95118499</v>
      </c>
      <c r="J21" s="63">
        <v>1366.3251070899998</v>
      </c>
      <c r="K21" s="63">
        <v>0</v>
      </c>
      <c r="L21" s="63">
        <v>0</v>
      </c>
      <c r="M21" s="63">
        <v>0</v>
      </c>
      <c r="N21" s="63">
        <v>0</v>
      </c>
      <c r="O21" s="64">
        <f t="shared" si="1"/>
        <v>11332.568945039999</v>
      </c>
      <c r="P21" s="15"/>
      <c r="Q21" s="13"/>
    </row>
    <row r="22" spans="2:17" s="14" customFormat="1" ht="15.75" customHeight="1" x14ac:dyDescent="0.25">
      <c r="B22" s="58" t="s">
        <v>52</v>
      </c>
      <c r="C22" s="63">
        <v>12129.15347107</v>
      </c>
      <c r="D22" s="63">
        <v>5276.7164428699998</v>
      </c>
      <c r="E22" s="63">
        <v>2887.1373084299998</v>
      </c>
      <c r="F22" s="63">
        <v>3254.3533235800001</v>
      </c>
      <c r="G22" s="63">
        <v>2827.9769214299999</v>
      </c>
      <c r="H22" s="63">
        <v>2803.4029759299997</v>
      </c>
      <c r="I22" s="63">
        <v>6345.12945451</v>
      </c>
      <c r="J22" s="63">
        <v>0</v>
      </c>
      <c r="K22" s="63">
        <v>0</v>
      </c>
      <c r="L22" s="63">
        <v>0</v>
      </c>
      <c r="M22" s="63">
        <v>0</v>
      </c>
      <c r="N22" s="63">
        <v>0</v>
      </c>
      <c r="O22" s="64">
        <f t="shared" si="1"/>
        <v>35523.869897819997</v>
      </c>
      <c r="P22" s="15"/>
      <c r="Q22" s="13"/>
    </row>
    <row r="23" spans="2:17" s="14" customFormat="1" ht="15.75" customHeight="1" x14ac:dyDescent="0.25">
      <c r="B23" s="58" t="s">
        <v>53</v>
      </c>
      <c r="C23" s="63">
        <v>6120.8724377600001</v>
      </c>
      <c r="D23" s="63">
        <v>10023.299277</v>
      </c>
      <c r="E23" s="63">
        <v>5307.7346610000004</v>
      </c>
      <c r="F23" s="63">
        <v>2097.3846997300002</v>
      </c>
      <c r="G23" s="63">
        <v>1652.85358</v>
      </c>
      <c r="H23" s="63">
        <v>1850.34912278</v>
      </c>
      <c r="I23" s="63">
        <v>2046.22403379</v>
      </c>
      <c r="J23" s="63">
        <v>2019.62725611</v>
      </c>
      <c r="K23" s="63">
        <v>0</v>
      </c>
      <c r="L23" s="63">
        <v>0</v>
      </c>
      <c r="M23" s="63">
        <v>0</v>
      </c>
      <c r="N23" s="63">
        <v>0</v>
      </c>
      <c r="O23" s="64">
        <f t="shared" si="1"/>
        <v>31118.345068170001</v>
      </c>
      <c r="P23" s="15"/>
      <c r="Q23" s="13"/>
    </row>
    <row r="24" spans="2:17" s="14" customFormat="1" ht="15.75" customHeight="1" x14ac:dyDescent="0.25">
      <c r="B24" s="58" t="s">
        <v>54</v>
      </c>
      <c r="C24" s="63">
        <v>33.419337040000002</v>
      </c>
      <c r="D24" s="63">
        <v>57.724881330000002</v>
      </c>
      <c r="E24" s="63">
        <v>432.59613385</v>
      </c>
      <c r="F24" s="63">
        <v>120.81257694999999</v>
      </c>
      <c r="G24" s="63">
        <v>66.044892950000005</v>
      </c>
      <c r="H24" s="63">
        <v>276.07882896000001</v>
      </c>
      <c r="I24" s="63">
        <v>0</v>
      </c>
      <c r="J24" s="63">
        <v>0</v>
      </c>
      <c r="K24" s="63">
        <v>0</v>
      </c>
      <c r="L24" s="63">
        <v>0</v>
      </c>
      <c r="M24" s="63">
        <v>0</v>
      </c>
      <c r="N24" s="63">
        <v>0</v>
      </c>
      <c r="O24" s="64">
        <f t="shared" si="1"/>
        <v>986.67665107999994</v>
      </c>
      <c r="P24" s="15"/>
      <c r="Q24" s="13"/>
    </row>
    <row r="25" spans="2:17" s="14" customFormat="1" ht="15.75" customHeight="1" x14ac:dyDescent="0.25">
      <c r="B25" s="58" t="s">
        <v>55</v>
      </c>
      <c r="C25" s="63">
        <v>544.828486</v>
      </c>
      <c r="D25" s="63">
        <v>2779.5726840000002</v>
      </c>
      <c r="E25" s="63">
        <v>1026.5759109999999</v>
      </c>
      <c r="F25" s="63">
        <v>595.77557100000001</v>
      </c>
      <c r="G25" s="63">
        <v>458.44131499999997</v>
      </c>
      <c r="H25" s="63">
        <v>513.49724400000002</v>
      </c>
      <c r="I25" s="63">
        <v>554.55339300000003</v>
      </c>
      <c r="J25" s="63">
        <v>610.22809800000005</v>
      </c>
      <c r="K25" s="63">
        <v>0</v>
      </c>
      <c r="L25" s="63">
        <v>0</v>
      </c>
      <c r="M25" s="63">
        <v>0</v>
      </c>
      <c r="N25" s="63">
        <v>0</v>
      </c>
      <c r="O25" s="64">
        <f t="shared" si="1"/>
        <v>7083.4727020000009</v>
      </c>
      <c r="P25" s="15"/>
      <c r="Q25" s="13"/>
    </row>
    <row r="26" spans="2:17" s="14" customFormat="1" ht="15.75" customHeight="1" x14ac:dyDescent="0.25">
      <c r="B26" s="58" t="s">
        <v>56</v>
      </c>
      <c r="C26" s="63">
        <v>716.50240739000003</v>
      </c>
      <c r="D26" s="63">
        <v>7188.398956</v>
      </c>
      <c r="E26" s="63">
        <v>3998.8761530000002</v>
      </c>
      <c r="F26" s="63">
        <v>1415.2171702000001</v>
      </c>
      <c r="G26" s="63">
        <v>996.81506008999997</v>
      </c>
      <c r="H26" s="63">
        <v>1121.2260744299999</v>
      </c>
      <c r="I26" s="63">
        <v>1191.2440317400001</v>
      </c>
      <c r="J26" s="63">
        <v>1187.5062574000001</v>
      </c>
      <c r="K26" s="63">
        <v>0</v>
      </c>
      <c r="L26" s="63">
        <v>0</v>
      </c>
      <c r="M26" s="63">
        <v>0</v>
      </c>
      <c r="N26" s="63">
        <v>0</v>
      </c>
      <c r="O26" s="64">
        <f t="shared" si="1"/>
        <v>17815.786110250003</v>
      </c>
      <c r="P26" s="15"/>
      <c r="Q26" s="13"/>
    </row>
    <row r="27" spans="2:17" s="14" customFormat="1" ht="15.75" customHeight="1" x14ac:dyDescent="0.25">
      <c r="B27" s="58" t="s">
        <v>57</v>
      </c>
      <c r="C27" s="63">
        <v>0.10359775</v>
      </c>
      <c r="D27" s="63">
        <v>0.19836200000000001</v>
      </c>
      <c r="E27" s="63">
        <v>0.119683</v>
      </c>
      <c r="F27" s="63">
        <v>0.50724955000000005</v>
      </c>
      <c r="G27" s="63">
        <v>1.28540297</v>
      </c>
      <c r="H27" s="63">
        <v>1.5607284400000001</v>
      </c>
      <c r="I27" s="63">
        <v>1.99697371</v>
      </c>
      <c r="J27" s="63">
        <v>0.50724955000000005</v>
      </c>
      <c r="K27" s="63">
        <v>0</v>
      </c>
      <c r="L27" s="63">
        <v>0</v>
      </c>
      <c r="M27" s="63">
        <v>0</v>
      </c>
      <c r="N27" s="63">
        <v>0</v>
      </c>
      <c r="O27" s="64">
        <f t="shared" si="1"/>
        <v>6.27924697</v>
      </c>
      <c r="P27" s="15"/>
      <c r="Q27" s="13"/>
    </row>
    <row r="28" spans="2:17" s="14" customFormat="1" ht="15.75" customHeight="1" x14ac:dyDescent="0.25">
      <c r="B28" s="58" t="s">
        <v>86</v>
      </c>
      <c r="C28" s="63">
        <v>10403.6138151</v>
      </c>
      <c r="D28" s="63">
        <v>75163.016478220001</v>
      </c>
      <c r="E28" s="63">
        <v>11714.728951030002</v>
      </c>
      <c r="F28" s="63">
        <v>13381.42557732</v>
      </c>
      <c r="G28" s="63">
        <v>8916.7540823899999</v>
      </c>
      <c r="H28" s="63">
        <v>14744.72320049</v>
      </c>
      <c r="I28" s="63">
        <v>10881.51166735</v>
      </c>
      <c r="J28" s="63">
        <v>16475.84491797</v>
      </c>
      <c r="K28" s="63">
        <v>0</v>
      </c>
      <c r="L28" s="63">
        <v>0</v>
      </c>
      <c r="M28" s="63">
        <v>0</v>
      </c>
      <c r="N28" s="63">
        <v>0</v>
      </c>
      <c r="O28" s="64">
        <f t="shared" si="1"/>
        <v>161681.61868987003</v>
      </c>
      <c r="P28" s="15"/>
      <c r="Q28" s="13"/>
    </row>
    <row r="29" spans="2:17" s="11" customFormat="1" ht="15.75" customHeight="1" x14ac:dyDescent="0.25">
      <c r="B29" s="58" t="s">
        <v>59</v>
      </c>
      <c r="C29" s="63">
        <v>713.41776613000002</v>
      </c>
      <c r="D29" s="63">
        <v>726.00956690999999</v>
      </c>
      <c r="E29" s="63">
        <v>6373.5846732</v>
      </c>
      <c r="F29" s="63">
        <v>3588.6681021899999</v>
      </c>
      <c r="G29" s="63">
        <v>4611.3336380299997</v>
      </c>
      <c r="H29" s="63">
        <v>5202.7439745199999</v>
      </c>
      <c r="I29" s="63">
        <v>3337.4660938299999</v>
      </c>
      <c r="J29" s="63">
        <v>3350.61846285</v>
      </c>
      <c r="K29" s="63">
        <v>2826.72301887</v>
      </c>
      <c r="L29" s="63">
        <v>0</v>
      </c>
      <c r="M29" s="63">
        <v>0</v>
      </c>
      <c r="N29" s="63">
        <v>0</v>
      </c>
      <c r="O29" s="64">
        <f t="shared" si="1"/>
        <v>30730.565296530003</v>
      </c>
      <c r="P29" s="12"/>
      <c r="Q29" s="10"/>
    </row>
    <row r="30" spans="2:17" s="14" customFormat="1" ht="15.75" customHeight="1" x14ac:dyDescent="0.25">
      <c r="B30" s="58" t="s">
        <v>60</v>
      </c>
      <c r="C30" s="63">
        <v>2065.3040409999999</v>
      </c>
      <c r="D30" s="63">
        <v>848.61485700000003</v>
      </c>
      <c r="E30" s="63">
        <v>897.67095300000028</v>
      </c>
      <c r="F30" s="63">
        <v>983.64106600000002</v>
      </c>
      <c r="G30" s="63">
        <v>887.40412400000002</v>
      </c>
      <c r="H30" s="63">
        <v>936.21750299999997</v>
      </c>
      <c r="I30" s="63">
        <v>1047.354458</v>
      </c>
      <c r="J30" s="63">
        <v>1083.0539229999999</v>
      </c>
      <c r="K30" s="63">
        <v>0</v>
      </c>
      <c r="L30" s="63">
        <v>0</v>
      </c>
      <c r="M30" s="63">
        <v>0</v>
      </c>
      <c r="N30" s="63">
        <v>0</v>
      </c>
      <c r="O30" s="64">
        <f t="shared" si="1"/>
        <v>8749.2609249999987</v>
      </c>
      <c r="P30" s="12"/>
      <c r="Q30" s="13"/>
    </row>
    <row r="31" spans="2:17" s="14" customFormat="1" ht="15.75" customHeight="1" x14ac:dyDescent="0.25">
      <c r="B31" s="58" t="s">
        <v>61</v>
      </c>
      <c r="C31" s="63">
        <v>1.1753364900000001</v>
      </c>
      <c r="D31" s="63">
        <v>0.13771082000000001</v>
      </c>
      <c r="E31" s="63">
        <v>0.23700026999999999</v>
      </c>
      <c r="F31" s="63">
        <v>0.28018156</v>
      </c>
      <c r="G31" s="63">
        <v>0.17253474999999999</v>
      </c>
      <c r="H31" s="63">
        <v>0.31500399000000001</v>
      </c>
      <c r="I31" s="63">
        <v>0</v>
      </c>
      <c r="J31" s="63">
        <v>2.49757323</v>
      </c>
      <c r="K31" s="63">
        <v>0</v>
      </c>
      <c r="L31" s="63">
        <v>0</v>
      </c>
      <c r="M31" s="63">
        <v>0</v>
      </c>
      <c r="N31" s="63">
        <v>0</v>
      </c>
      <c r="O31" s="64">
        <f t="shared" si="1"/>
        <v>4.8153411100000003</v>
      </c>
      <c r="P31" s="12"/>
      <c r="Q31" s="13"/>
    </row>
    <row r="32" spans="2:17" ht="22.5" customHeight="1" x14ac:dyDescent="0.2">
      <c r="B32" s="65" t="s">
        <v>82</v>
      </c>
      <c r="C32" s="66">
        <f t="shared" ref="C32:O32" si="2">SUM(C8:C31)</f>
        <v>299365.69668588066</v>
      </c>
      <c r="D32" s="66">
        <f t="shared" si="2"/>
        <v>485570.9077415613</v>
      </c>
      <c r="E32" s="66">
        <f t="shared" si="2"/>
        <v>314412.45520147937</v>
      </c>
      <c r="F32" s="66">
        <f t="shared" si="2"/>
        <v>283350.49887325545</v>
      </c>
      <c r="G32" s="66">
        <f t="shared" si="2"/>
        <v>260458.39157092021</v>
      </c>
      <c r="H32" s="66">
        <f t="shared" si="2"/>
        <v>325317.42780405458</v>
      </c>
      <c r="I32" s="66">
        <f t="shared" si="2"/>
        <v>192129.44708647474</v>
      </c>
      <c r="J32" s="66">
        <f t="shared" si="2"/>
        <v>152616.41493252001</v>
      </c>
      <c r="K32" s="66">
        <f t="shared" si="2"/>
        <v>3330.6170734100001</v>
      </c>
      <c r="L32" s="66">
        <f t="shared" si="2"/>
        <v>0</v>
      </c>
      <c r="M32" s="66">
        <f t="shared" si="2"/>
        <v>0</v>
      </c>
      <c r="N32" s="66">
        <f t="shared" si="2"/>
        <v>0</v>
      </c>
      <c r="O32" s="66">
        <f t="shared" si="2"/>
        <v>2316551.8569695554</v>
      </c>
      <c r="P32" s="12"/>
    </row>
    <row r="33" spans="2:15" s="28" customFormat="1" ht="21.75" customHeight="1" x14ac:dyDescent="0.2">
      <c r="B33" s="83" t="s">
        <v>28</v>
      </c>
      <c r="C33" s="86"/>
      <c r="D33" s="86"/>
      <c r="E33" s="86"/>
    </row>
    <row r="34" spans="2:15" s="28" customFormat="1" ht="16.5" customHeight="1" x14ac:dyDescent="0.2">
      <c r="B34" s="84" t="s">
        <v>84</v>
      </c>
      <c r="C34" s="87"/>
    </row>
    <row r="35" spans="2:15" s="61" customFormat="1" ht="6.95" customHeight="1" thickBot="1" x14ac:dyDescent="0.3">
      <c r="B35" s="32"/>
      <c r="C35" s="51"/>
      <c r="D35" s="32"/>
      <c r="E35" s="32"/>
      <c r="F35" s="32"/>
      <c r="G35" s="32"/>
      <c r="H35" s="32"/>
      <c r="I35" s="32"/>
      <c r="J35" s="32"/>
      <c r="K35" s="32"/>
      <c r="L35" s="32"/>
      <c r="M35" s="32"/>
      <c r="N35" s="32"/>
      <c r="O35" s="32"/>
    </row>
    <row r="36" spans="2:15" ht="14.25" customHeight="1" x14ac:dyDescent="0.2">
      <c r="B36" s="33" t="s">
        <v>29</v>
      </c>
      <c r="C36" s="16"/>
      <c r="E36" s="16"/>
      <c r="F36" s="16"/>
    </row>
    <row r="37" spans="2:15" x14ac:dyDescent="0.2">
      <c r="C37" s="17"/>
      <c r="D37" s="17"/>
      <c r="E37" s="17"/>
    </row>
    <row r="38" spans="2:15" x14ac:dyDescent="0.2">
      <c r="C38" s="17"/>
      <c r="D38" s="17"/>
      <c r="E38" s="17"/>
    </row>
    <row r="39" spans="2:15" ht="20.25" x14ac:dyDescent="0.3">
      <c r="C39" s="17"/>
      <c r="D39" s="17"/>
      <c r="E39" s="17"/>
      <c r="F39" s="18"/>
    </row>
    <row r="40" spans="2:15" x14ac:dyDescent="0.2">
      <c r="C40" s="17"/>
      <c r="D40" s="17"/>
      <c r="E40" s="17"/>
    </row>
    <row r="41" spans="2:15" ht="14.25" x14ac:dyDescent="0.2">
      <c r="C41" s="19"/>
      <c r="D41" s="19"/>
      <c r="E41" s="19"/>
    </row>
    <row r="42" spans="2:15" x14ac:dyDescent="0.2">
      <c r="C42" s="20"/>
      <c r="D42" s="20"/>
      <c r="E42" s="20"/>
    </row>
    <row r="43" spans="2:15" x14ac:dyDescent="0.2">
      <c r="C43" s="21"/>
      <c r="D43" s="17"/>
      <c r="E43" s="17"/>
    </row>
    <row r="44" spans="2:15" x14ac:dyDescent="0.2">
      <c r="C44" s="17"/>
      <c r="D44" s="17"/>
      <c r="E44" s="17"/>
    </row>
    <row r="45" spans="2:15" x14ac:dyDescent="0.2">
      <c r="C45" s="17"/>
      <c r="D45" s="17"/>
      <c r="E45" s="17"/>
    </row>
    <row r="46" spans="2:15" x14ac:dyDescent="0.2">
      <c r="C46" s="17"/>
      <c r="D46" s="17"/>
      <c r="E46" s="17"/>
    </row>
    <row r="47" spans="2:15" x14ac:dyDescent="0.2">
      <c r="C47" s="22"/>
      <c r="D47" s="22"/>
      <c r="E47" s="22"/>
    </row>
    <row r="48" spans="2:15" x14ac:dyDescent="0.2">
      <c r="C48" s="21"/>
      <c r="D48" s="21"/>
      <c r="E48" s="21"/>
    </row>
  </sheetData>
  <mergeCells count="3">
    <mergeCell ref="B2:O2"/>
    <mergeCell ref="B3:O3"/>
    <mergeCell ref="B4:O4"/>
  </mergeCells>
  <printOptions horizontalCentered="1" verticalCentered="1"/>
  <pageMargins left="0" right="0" top="0" bottom="0" header="0" footer="0"/>
  <pageSetup paperSize="9" scale="68"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pageSetUpPr fitToPage="1"/>
  </sheetPr>
  <dimension ref="B1:Q48"/>
  <sheetViews>
    <sheetView showGridLines="0" zoomScale="85" zoomScaleNormal="85" workbookViewId="0">
      <selection activeCell="A6" sqref="A6"/>
    </sheetView>
  </sheetViews>
  <sheetFormatPr baseColWidth="10" defaultRowHeight="12.75" x14ac:dyDescent="0.2"/>
  <cols>
    <col min="1" max="1" width="1.28515625" customWidth="1"/>
    <col min="2" max="2" width="26.85546875" customWidth="1"/>
    <col min="3" max="15" width="15" customWidth="1"/>
  </cols>
  <sheetData>
    <row r="1" spans="2:17" ht="21" customHeight="1" x14ac:dyDescent="0.25">
      <c r="B1" s="1"/>
      <c r="C1" s="2"/>
      <c r="D1" s="3"/>
      <c r="E1" s="3"/>
      <c r="F1" s="3"/>
      <c r="G1" s="3"/>
      <c r="H1" s="3"/>
      <c r="I1" s="3"/>
      <c r="K1" s="4"/>
      <c r="N1" s="95" t="str">
        <f>+IIBB!N1</f>
        <v>Última actualización</v>
      </c>
      <c r="O1" s="96">
        <f>+IIBB!O1</f>
        <v>46297</v>
      </c>
    </row>
    <row r="2" spans="2:17" ht="21" customHeight="1" x14ac:dyDescent="0.3">
      <c r="B2" s="105" t="s">
        <v>2</v>
      </c>
      <c r="C2" s="105"/>
      <c r="D2" s="105"/>
      <c r="E2" s="105"/>
      <c r="F2" s="105"/>
      <c r="G2" s="105"/>
      <c r="H2" s="105"/>
      <c r="I2" s="105"/>
      <c r="J2" s="105"/>
      <c r="K2" s="105"/>
      <c r="L2" s="105"/>
      <c r="M2" s="105"/>
      <c r="N2" s="105"/>
      <c r="O2" s="105"/>
    </row>
    <row r="3" spans="2:17" ht="21" customHeight="1" x14ac:dyDescent="0.3">
      <c r="B3" s="106">
        <f>+IIBB!B3</f>
        <v>2026</v>
      </c>
      <c r="C3" s="107"/>
      <c r="D3" s="107"/>
      <c r="E3" s="107"/>
      <c r="F3" s="107"/>
      <c r="G3" s="107"/>
      <c r="H3" s="107"/>
      <c r="I3" s="107"/>
      <c r="J3" s="107"/>
      <c r="K3" s="107"/>
      <c r="L3" s="107"/>
      <c r="M3" s="107"/>
      <c r="N3" s="107"/>
      <c r="O3" s="107"/>
    </row>
    <row r="4" spans="2:17" ht="21" customHeight="1" x14ac:dyDescent="0.25">
      <c r="B4" s="108" t="s">
        <v>6</v>
      </c>
      <c r="C4" s="108"/>
      <c r="D4" s="108"/>
      <c r="E4" s="108"/>
      <c r="F4" s="108"/>
      <c r="G4" s="108"/>
      <c r="H4" s="108"/>
      <c r="I4" s="108"/>
      <c r="J4" s="108"/>
      <c r="K4" s="108"/>
      <c r="L4" s="108"/>
      <c r="M4" s="108"/>
      <c r="N4" s="108"/>
      <c r="O4" s="108"/>
    </row>
    <row r="5" spans="2:17" ht="21" customHeight="1" x14ac:dyDescent="0.4">
      <c r="C5" s="5"/>
      <c r="D5" s="6"/>
      <c r="E5" s="6"/>
      <c r="F5" s="6"/>
      <c r="G5" s="6"/>
      <c r="H5" s="7"/>
      <c r="I5" s="6"/>
    </row>
    <row r="6" spans="2:17" ht="30" customHeight="1" x14ac:dyDescent="0.2">
      <c r="B6" s="62" t="s">
        <v>30</v>
      </c>
      <c r="C6" s="62" t="s">
        <v>71</v>
      </c>
      <c r="D6" s="62" t="s">
        <v>70</v>
      </c>
      <c r="E6" s="62" t="s">
        <v>72</v>
      </c>
      <c r="F6" s="62" t="s">
        <v>73</v>
      </c>
      <c r="G6" s="62" t="s">
        <v>74</v>
      </c>
      <c r="H6" s="62" t="s">
        <v>75</v>
      </c>
      <c r="I6" s="62" t="s">
        <v>76</v>
      </c>
      <c r="J6" s="62" t="s">
        <v>77</v>
      </c>
      <c r="K6" s="62" t="s">
        <v>78</v>
      </c>
      <c r="L6" s="62" t="s">
        <v>79</v>
      </c>
      <c r="M6" s="62" t="s">
        <v>80</v>
      </c>
      <c r="N6" s="62" t="s">
        <v>81</v>
      </c>
      <c r="O6" s="62" t="s">
        <v>82</v>
      </c>
    </row>
    <row r="7" spans="2:17" s="8" customFormat="1" ht="15" hidden="1" customHeight="1" x14ac:dyDescent="0.7">
      <c r="B7" s="23"/>
      <c r="C7" s="23"/>
      <c r="D7" s="24"/>
      <c r="E7" s="24"/>
      <c r="F7" s="25"/>
      <c r="G7" s="26"/>
      <c r="H7" s="27"/>
      <c r="I7" s="27"/>
      <c r="J7" s="27"/>
      <c r="K7" s="27"/>
      <c r="O7" s="80"/>
    </row>
    <row r="8" spans="2:17" s="11" customFormat="1" ht="15.75" customHeight="1" x14ac:dyDescent="0.25">
      <c r="B8" s="58" t="s">
        <v>87</v>
      </c>
      <c r="C8" s="63">
        <v>92341</v>
      </c>
      <c r="D8" s="63">
        <v>72461.5</v>
      </c>
      <c r="E8" s="63">
        <v>65069.4</v>
      </c>
      <c r="F8" s="63">
        <v>75230.899999999994</v>
      </c>
      <c r="G8" s="63">
        <v>76067.600000000006</v>
      </c>
      <c r="H8" s="63">
        <v>74624.5</v>
      </c>
      <c r="I8" s="63">
        <v>78671.899999999994</v>
      </c>
      <c r="J8" s="63">
        <v>81304.100000000006</v>
      </c>
      <c r="K8" s="63">
        <v>0</v>
      </c>
      <c r="L8" s="63">
        <v>0</v>
      </c>
      <c r="M8" s="63">
        <v>0</v>
      </c>
      <c r="N8" s="63">
        <v>0</v>
      </c>
      <c r="O8" s="64">
        <f t="shared" ref="O8" si="0">SUM(C8:N8)</f>
        <v>615770.9</v>
      </c>
      <c r="P8" s="9"/>
      <c r="Q8" s="10"/>
    </row>
    <row r="9" spans="2:17" s="11" customFormat="1" ht="15.75" customHeight="1" x14ac:dyDescent="0.25">
      <c r="B9" s="58" t="s">
        <v>39</v>
      </c>
      <c r="C9" s="63">
        <v>142812.81268369997</v>
      </c>
      <c r="D9" s="63">
        <v>126193.6922753</v>
      </c>
      <c r="E9" s="63">
        <v>131929.67612239998</v>
      </c>
      <c r="F9" s="63">
        <v>137090.09295719999</v>
      </c>
      <c r="G9" s="63">
        <v>141157.44097580001</v>
      </c>
      <c r="H9" s="63">
        <v>133786.03898509999</v>
      </c>
      <c r="I9" s="63">
        <v>138562.6014864</v>
      </c>
      <c r="J9" s="63">
        <v>0</v>
      </c>
      <c r="K9" s="63">
        <v>0</v>
      </c>
      <c r="L9" s="63">
        <v>0</v>
      </c>
      <c r="M9" s="63">
        <v>0</v>
      </c>
      <c r="N9" s="63">
        <v>0</v>
      </c>
      <c r="O9" s="64">
        <f>SUM(C9:N9)</f>
        <v>951532.35548589996</v>
      </c>
      <c r="P9" s="9"/>
      <c r="Q9" s="10"/>
    </row>
    <row r="10" spans="2:17" s="14" customFormat="1" ht="15.75" customHeight="1" x14ac:dyDescent="0.25">
      <c r="B10" s="58" t="s">
        <v>40</v>
      </c>
      <c r="C10" s="63">
        <v>553.99611140800005</v>
      </c>
      <c r="D10" s="63">
        <v>544.05201284999998</v>
      </c>
      <c r="E10" s="63">
        <v>507.39831594999998</v>
      </c>
      <c r="F10" s="63">
        <v>592.46390066000004</v>
      </c>
      <c r="G10" s="63">
        <v>727.77061905000005</v>
      </c>
      <c r="H10" s="63">
        <v>669.28857694999999</v>
      </c>
      <c r="I10" s="63">
        <v>633.31519922999996</v>
      </c>
      <c r="J10" s="63">
        <v>996.33347977999995</v>
      </c>
      <c r="K10" s="63">
        <v>540.51528255999995</v>
      </c>
      <c r="L10" s="63">
        <v>0</v>
      </c>
      <c r="M10" s="63">
        <v>0</v>
      </c>
      <c r="N10" s="63">
        <v>0</v>
      </c>
      <c r="O10" s="64">
        <f t="shared" ref="O10:O31" si="1">SUM(C10:N10)</f>
        <v>5765.1334984379992</v>
      </c>
      <c r="P10" s="12"/>
      <c r="Q10" s="13"/>
    </row>
    <row r="11" spans="2:17" s="14" customFormat="1" ht="15.75" customHeight="1" x14ac:dyDescent="0.25">
      <c r="B11" s="58" t="s">
        <v>41</v>
      </c>
      <c r="C11" s="63">
        <v>37032.355723000001</v>
      </c>
      <c r="D11" s="63">
        <v>28749.031814000002</v>
      </c>
      <c r="E11" s="63">
        <v>36500.946557000003</v>
      </c>
      <c r="F11" s="63">
        <v>37133.048051999998</v>
      </c>
      <c r="G11" s="63">
        <v>35946.673101</v>
      </c>
      <c r="H11" s="63">
        <v>35887.831259999999</v>
      </c>
      <c r="I11" s="63">
        <v>39324.686779000003</v>
      </c>
      <c r="J11" s="63">
        <v>38401.058881999998</v>
      </c>
      <c r="K11" s="63">
        <v>0</v>
      </c>
      <c r="L11" s="63">
        <v>0</v>
      </c>
      <c r="M11" s="63">
        <v>0</v>
      </c>
      <c r="N11" s="63">
        <v>0</v>
      </c>
      <c r="O11" s="64">
        <f t="shared" si="1"/>
        <v>288975.63216799998</v>
      </c>
      <c r="P11" s="12"/>
      <c r="Q11" s="13"/>
    </row>
    <row r="12" spans="2:17" s="14" customFormat="1" ht="15.75" customHeight="1" x14ac:dyDescent="0.25">
      <c r="B12" s="58" t="s">
        <v>42</v>
      </c>
      <c r="C12" s="63">
        <v>4915.4024398299989</v>
      </c>
      <c r="D12" s="63">
        <v>4318.3559355500001</v>
      </c>
      <c r="E12" s="63">
        <v>4713.0984334900004</v>
      </c>
      <c r="F12" s="63">
        <v>5472.3684357300008</v>
      </c>
      <c r="G12" s="63">
        <v>5230.0257664900009</v>
      </c>
      <c r="H12" s="63">
        <v>5774.1253548699997</v>
      </c>
      <c r="I12" s="63">
        <v>4995.8224046300011</v>
      </c>
      <c r="J12" s="63">
        <v>0</v>
      </c>
      <c r="K12" s="63">
        <v>0</v>
      </c>
      <c r="L12" s="63">
        <v>0</v>
      </c>
      <c r="M12" s="63">
        <v>0</v>
      </c>
      <c r="N12" s="63">
        <v>0</v>
      </c>
      <c r="O12" s="64">
        <f t="shared" si="1"/>
        <v>35419.198770590003</v>
      </c>
      <c r="P12" s="12"/>
      <c r="Q12" s="13"/>
    </row>
    <row r="13" spans="2:17" s="14" customFormat="1" ht="15.75" customHeight="1" x14ac:dyDescent="0.25">
      <c r="B13" s="58" t="s">
        <v>43</v>
      </c>
      <c r="C13" s="63">
        <v>5943.7805058000004</v>
      </c>
      <c r="D13" s="63">
        <v>5335.2329369999998</v>
      </c>
      <c r="E13" s="63">
        <v>5405.164076</v>
      </c>
      <c r="F13" s="63">
        <v>5595.6245499899997</v>
      </c>
      <c r="G13" s="63">
        <v>5438.5773086899999</v>
      </c>
      <c r="H13" s="63">
        <v>5532.3617746</v>
      </c>
      <c r="I13" s="63">
        <v>5987.1095757900002</v>
      </c>
      <c r="J13" s="63">
        <v>6053.2149678799997</v>
      </c>
      <c r="K13" s="63">
        <v>0</v>
      </c>
      <c r="L13" s="63">
        <v>0</v>
      </c>
      <c r="M13" s="63">
        <v>0</v>
      </c>
      <c r="N13" s="63">
        <v>0</v>
      </c>
      <c r="O13" s="64">
        <f t="shared" si="1"/>
        <v>45291.065695749996</v>
      </c>
      <c r="P13" s="12"/>
      <c r="Q13" s="13"/>
    </row>
    <row r="14" spans="2:17" s="14" customFormat="1" ht="15.75" customHeight="1" x14ac:dyDescent="0.25">
      <c r="B14" s="59" t="s">
        <v>44</v>
      </c>
      <c r="C14" s="63">
        <v>17088.204760209999</v>
      </c>
      <c r="D14" s="63">
        <v>7999.1440782199998</v>
      </c>
      <c r="E14" s="63">
        <v>17134.04986435</v>
      </c>
      <c r="F14" s="63">
        <v>10640.710810160001</v>
      </c>
      <c r="G14" s="63">
        <v>8178.8478140200004</v>
      </c>
      <c r="H14" s="63">
        <v>8711.0170729199999</v>
      </c>
      <c r="I14" s="63">
        <v>8040.3200503900007</v>
      </c>
      <c r="J14" s="63">
        <v>9238.2052738700004</v>
      </c>
      <c r="K14" s="63">
        <v>8691</v>
      </c>
      <c r="L14" s="63">
        <v>0</v>
      </c>
      <c r="M14" s="63">
        <v>0</v>
      </c>
      <c r="N14" s="63">
        <v>0</v>
      </c>
      <c r="O14" s="64">
        <f t="shared" si="1"/>
        <v>95721.499724140012</v>
      </c>
      <c r="P14" s="12"/>
      <c r="Q14" s="13"/>
    </row>
    <row r="15" spans="2:17" s="14" customFormat="1" ht="15.75" customHeight="1" x14ac:dyDescent="0.25">
      <c r="B15" s="58" t="s">
        <v>45</v>
      </c>
      <c r="C15" s="63">
        <v>7977.8713470000002</v>
      </c>
      <c r="D15" s="63">
        <v>7878.7169080000003</v>
      </c>
      <c r="E15" s="63">
        <v>7723.9784900000004</v>
      </c>
      <c r="F15" s="63">
        <v>8470.7446309999996</v>
      </c>
      <c r="G15" s="63">
        <v>8489.0193810000001</v>
      </c>
      <c r="H15" s="63">
        <v>8977.6139500000008</v>
      </c>
      <c r="I15" s="63">
        <v>9105.5015789999998</v>
      </c>
      <c r="J15" s="63">
        <v>10145.339539000001</v>
      </c>
      <c r="K15" s="63">
        <v>0</v>
      </c>
      <c r="L15" s="63">
        <v>0</v>
      </c>
      <c r="M15" s="63">
        <v>0</v>
      </c>
      <c r="N15" s="63">
        <v>0</v>
      </c>
      <c r="O15" s="64">
        <f t="shared" si="1"/>
        <v>68768.785824999999</v>
      </c>
      <c r="P15" s="12"/>
      <c r="Q15" s="13"/>
    </row>
    <row r="16" spans="2:17" s="14" customFormat="1" ht="15.75" customHeight="1" x14ac:dyDescent="0.25">
      <c r="B16" s="58" t="s">
        <v>46</v>
      </c>
      <c r="C16" s="63">
        <v>1403.0895588599999</v>
      </c>
      <c r="D16" s="63">
        <v>1740.00762568</v>
      </c>
      <c r="E16" s="63">
        <v>1783.36419013</v>
      </c>
      <c r="F16" s="63">
        <v>2135.09714549</v>
      </c>
      <c r="G16" s="63">
        <v>1629.61643738</v>
      </c>
      <c r="H16" s="63">
        <v>1781.80455719</v>
      </c>
      <c r="I16" s="63">
        <v>1700.64816976</v>
      </c>
      <c r="J16" s="63">
        <v>2331.3206335599998</v>
      </c>
      <c r="K16" s="63">
        <v>2388.5606075999999</v>
      </c>
      <c r="L16" s="63">
        <v>0</v>
      </c>
      <c r="M16" s="63">
        <v>0</v>
      </c>
      <c r="N16" s="63">
        <v>0</v>
      </c>
      <c r="O16" s="64">
        <f t="shared" si="1"/>
        <v>16893.50892565</v>
      </c>
      <c r="P16" s="12"/>
      <c r="Q16" s="13"/>
    </row>
    <row r="17" spans="2:17" s="14" customFormat="1" ht="15.75" customHeight="1" x14ac:dyDescent="0.25">
      <c r="B17" s="58" t="s">
        <v>47</v>
      </c>
      <c r="C17" s="63">
        <v>3251.2271129999999</v>
      </c>
      <c r="D17" s="63">
        <v>3386.0452690000002</v>
      </c>
      <c r="E17" s="63">
        <v>2791.7642639999999</v>
      </c>
      <c r="F17" s="63">
        <v>3144.524758</v>
      </c>
      <c r="G17" s="63">
        <v>2945.8765330000001</v>
      </c>
      <c r="H17" s="63">
        <v>3149.1528669999998</v>
      </c>
      <c r="I17" s="63">
        <v>3185.9767889999998</v>
      </c>
      <c r="J17" s="63">
        <v>3551.0697279999999</v>
      </c>
      <c r="K17" s="63">
        <v>0</v>
      </c>
      <c r="L17" s="63">
        <v>0</v>
      </c>
      <c r="M17" s="63">
        <v>0</v>
      </c>
      <c r="N17" s="63">
        <v>0</v>
      </c>
      <c r="O17" s="64">
        <f t="shared" si="1"/>
        <v>25405.637320999998</v>
      </c>
      <c r="P17" s="12"/>
      <c r="Q17" s="13"/>
    </row>
    <row r="18" spans="2:17" s="11" customFormat="1" ht="15.75" customHeight="1" x14ac:dyDescent="0.25">
      <c r="B18" s="58" t="s">
        <v>48</v>
      </c>
      <c r="C18" s="63">
        <v>3580.9758353100001</v>
      </c>
      <c r="D18" s="63">
        <v>1230.14905099</v>
      </c>
      <c r="E18" s="63">
        <v>4872.3583484499995</v>
      </c>
      <c r="F18" s="63">
        <v>3827.6782799699999</v>
      </c>
      <c r="G18" s="63">
        <v>4262.9150645999998</v>
      </c>
      <c r="H18" s="63">
        <v>3604.4976781</v>
      </c>
      <c r="I18" s="63">
        <v>4862.5669665200003</v>
      </c>
      <c r="J18" s="63">
        <v>0</v>
      </c>
      <c r="K18" s="63">
        <v>0</v>
      </c>
      <c r="L18" s="63">
        <v>0</v>
      </c>
      <c r="M18" s="63">
        <v>0</v>
      </c>
      <c r="N18" s="63">
        <v>0</v>
      </c>
      <c r="O18" s="64">
        <f t="shared" si="1"/>
        <v>26241.141223939998</v>
      </c>
      <c r="P18" s="9"/>
      <c r="Q18" s="10"/>
    </row>
    <row r="19" spans="2:17" s="14" customFormat="1" ht="15.75" customHeight="1" x14ac:dyDescent="0.25">
      <c r="B19" s="58" t="s">
        <v>49</v>
      </c>
      <c r="C19" s="63">
        <v>1771.6987450700001</v>
      </c>
      <c r="D19" s="63">
        <v>1727.1182721499999</v>
      </c>
      <c r="E19" s="63">
        <v>1828.8498712499998</v>
      </c>
      <c r="F19" s="63">
        <v>1844.3229499399999</v>
      </c>
      <c r="G19" s="63">
        <v>2124.4086718300005</v>
      </c>
      <c r="H19" s="63">
        <v>2332.0518847899998</v>
      </c>
      <c r="I19" s="63">
        <v>1913.6695691499999</v>
      </c>
      <c r="J19" s="63">
        <v>2068.4390171199998</v>
      </c>
      <c r="K19" s="63">
        <v>0</v>
      </c>
      <c r="L19" s="63">
        <v>0</v>
      </c>
      <c r="M19" s="63">
        <v>0</v>
      </c>
      <c r="N19" s="63">
        <v>0</v>
      </c>
      <c r="O19" s="64">
        <f t="shared" si="1"/>
        <v>15610.558981300001</v>
      </c>
      <c r="P19" s="12"/>
      <c r="Q19" s="13"/>
    </row>
    <row r="20" spans="2:17" s="14" customFormat="1" ht="15.75" customHeight="1" x14ac:dyDescent="0.25">
      <c r="B20" s="58" t="s">
        <v>50</v>
      </c>
      <c r="C20" s="63">
        <v>12468.715794</v>
      </c>
      <c r="D20" s="63">
        <v>9809.9932623000004</v>
      </c>
      <c r="E20" s="63">
        <v>10286.082232999999</v>
      </c>
      <c r="F20" s="63">
        <v>11215.035749000001</v>
      </c>
      <c r="G20" s="63">
        <v>11690.252686</v>
      </c>
      <c r="H20" s="63">
        <v>11294.864804999999</v>
      </c>
      <c r="I20" s="63">
        <v>12255.731965000001</v>
      </c>
      <c r="J20" s="63">
        <v>12027.197441</v>
      </c>
      <c r="K20" s="63">
        <v>0</v>
      </c>
      <c r="L20" s="63">
        <v>0</v>
      </c>
      <c r="M20" s="63">
        <v>0</v>
      </c>
      <c r="N20" s="63">
        <v>0</v>
      </c>
      <c r="O20" s="64">
        <f t="shared" si="1"/>
        <v>91047.873935299998</v>
      </c>
      <c r="P20" s="12"/>
      <c r="Q20" s="13"/>
    </row>
    <row r="21" spans="2:17" s="14" customFormat="1" ht="15.75" customHeight="1" x14ac:dyDescent="0.25">
      <c r="B21" s="58" t="s">
        <v>51</v>
      </c>
      <c r="C21" s="63">
        <v>5230.0884749200004</v>
      </c>
      <c r="D21" s="63">
        <v>4844.9493068900001</v>
      </c>
      <c r="E21" s="63">
        <v>4819.5823390200003</v>
      </c>
      <c r="F21" s="63">
        <v>5040.8168746599995</v>
      </c>
      <c r="G21" s="63">
        <v>5661.5843592199999</v>
      </c>
      <c r="H21" s="63">
        <v>5633.88023634</v>
      </c>
      <c r="I21" s="63">
        <v>5264.57456155</v>
      </c>
      <c r="J21" s="63">
        <v>5319.1119349099999</v>
      </c>
      <c r="K21" s="63">
        <v>0</v>
      </c>
      <c r="L21" s="63">
        <v>0</v>
      </c>
      <c r="M21" s="63">
        <v>0</v>
      </c>
      <c r="N21" s="63">
        <v>0</v>
      </c>
      <c r="O21" s="64">
        <f t="shared" si="1"/>
        <v>41814.588087509997</v>
      </c>
      <c r="P21" s="15"/>
      <c r="Q21" s="13"/>
    </row>
    <row r="22" spans="2:17" s="14" customFormat="1" ht="15.75" customHeight="1" x14ac:dyDescent="0.25">
      <c r="B22" s="58" t="s">
        <v>52</v>
      </c>
      <c r="C22" s="63">
        <v>10620.09625887</v>
      </c>
      <c r="D22" s="63">
        <v>17369.226374819998</v>
      </c>
      <c r="E22" s="63">
        <v>11440.792712910001</v>
      </c>
      <c r="F22" s="63">
        <v>11553.46871175</v>
      </c>
      <c r="G22" s="63">
        <v>13087.604487819999</v>
      </c>
      <c r="H22" s="63">
        <v>11161.310732100001</v>
      </c>
      <c r="I22" s="63">
        <v>22563.615418649999</v>
      </c>
      <c r="J22" s="63">
        <v>0</v>
      </c>
      <c r="K22" s="63">
        <v>0</v>
      </c>
      <c r="L22" s="63">
        <v>0</v>
      </c>
      <c r="M22" s="63">
        <v>0</v>
      </c>
      <c r="N22" s="63">
        <v>0</v>
      </c>
      <c r="O22" s="64">
        <f t="shared" si="1"/>
        <v>97796.114696920005</v>
      </c>
      <c r="P22" s="15"/>
      <c r="Q22" s="13"/>
    </row>
    <row r="23" spans="2:17" s="14" customFormat="1" ht="15.75" customHeight="1" x14ac:dyDescent="0.25">
      <c r="B23" s="58" t="s">
        <v>53</v>
      </c>
      <c r="C23" s="63">
        <v>8166.5728034399999</v>
      </c>
      <c r="D23" s="63">
        <v>3852.3950359999999</v>
      </c>
      <c r="E23" s="63">
        <v>4243.1389129999998</v>
      </c>
      <c r="F23" s="63">
        <v>4618.3390757500001</v>
      </c>
      <c r="G23" s="63">
        <v>5065.4802989999998</v>
      </c>
      <c r="H23" s="63">
        <v>7284.2478874500002</v>
      </c>
      <c r="I23" s="63">
        <v>6494.0759445900003</v>
      </c>
      <c r="J23" s="63">
        <v>5554.4858568599993</v>
      </c>
      <c r="K23" s="63">
        <v>0</v>
      </c>
      <c r="L23" s="63">
        <v>0</v>
      </c>
      <c r="M23" s="63">
        <v>0</v>
      </c>
      <c r="N23" s="63">
        <v>0</v>
      </c>
      <c r="O23" s="64">
        <f t="shared" si="1"/>
        <v>45278.735816090004</v>
      </c>
      <c r="P23" s="15"/>
      <c r="Q23" s="13"/>
    </row>
    <row r="24" spans="2:17" s="14" customFormat="1" ht="15.75" customHeight="1" x14ac:dyDescent="0.25">
      <c r="B24" s="58" t="s">
        <v>54</v>
      </c>
      <c r="C24" s="63">
        <v>6201.5728716399999</v>
      </c>
      <c r="D24" s="63">
        <v>7515.2712416000004</v>
      </c>
      <c r="E24" s="63">
        <v>6946.4746082700003</v>
      </c>
      <c r="F24" s="63">
        <v>7399.1220653500004</v>
      </c>
      <c r="G24" s="63">
        <v>6764.6026511700002</v>
      </c>
      <c r="H24" s="63">
        <v>6003.7941450899998</v>
      </c>
      <c r="I24" s="63">
        <v>0</v>
      </c>
      <c r="J24" s="63">
        <v>0</v>
      </c>
      <c r="K24" s="63">
        <v>0</v>
      </c>
      <c r="L24" s="63">
        <v>0</v>
      </c>
      <c r="M24" s="63">
        <v>0</v>
      </c>
      <c r="N24" s="63">
        <v>0</v>
      </c>
      <c r="O24" s="64">
        <f t="shared" si="1"/>
        <v>40830.837583119996</v>
      </c>
      <c r="P24" s="15"/>
      <c r="Q24" s="13"/>
    </row>
    <row r="25" spans="2:17" s="14" customFormat="1" ht="15.75" customHeight="1" x14ac:dyDescent="0.25">
      <c r="B25" s="58" t="s">
        <v>55</v>
      </c>
      <c r="C25" s="63">
        <v>3002.6838659999999</v>
      </c>
      <c r="D25" s="63">
        <v>2659.0549639999999</v>
      </c>
      <c r="E25" s="63">
        <v>2843.9633330000001</v>
      </c>
      <c r="F25" s="63">
        <v>2743.9616390000001</v>
      </c>
      <c r="G25" s="63">
        <v>3165.3857969999999</v>
      </c>
      <c r="H25" s="63">
        <v>2716.5482980000002</v>
      </c>
      <c r="I25" s="63">
        <v>3045.023471</v>
      </c>
      <c r="J25" s="63">
        <v>3039.956792</v>
      </c>
      <c r="K25" s="63">
        <v>0</v>
      </c>
      <c r="L25" s="63">
        <v>0</v>
      </c>
      <c r="M25" s="63">
        <v>0</v>
      </c>
      <c r="N25" s="63">
        <v>0</v>
      </c>
      <c r="O25" s="64">
        <f t="shared" si="1"/>
        <v>23216.578160000001</v>
      </c>
      <c r="P25" s="15"/>
      <c r="Q25" s="13"/>
    </row>
    <row r="26" spans="2:17" s="14" customFormat="1" ht="15.75" customHeight="1" x14ac:dyDescent="0.25">
      <c r="B26" s="58" t="s">
        <v>56</v>
      </c>
      <c r="C26" s="63">
        <v>3246.2715652800002</v>
      </c>
      <c r="D26" s="63">
        <v>2928.072764</v>
      </c>
      <c r="E26" s="63">
        <v>3137.131997</v>
      </c>
      <c r="F26" s="63">
        <v>3083.1282932899999</v>
      </c>
      <c r="G26" s="63">
        <v>3464.2343095299998</v>
      </c>
      <c r="H26" s="63">
        <v>3264.30753602</v>
      </c>
      <c r="I26" s="63">
        <v>3146.4982863800001</v>
      </c>
      <c r="J26" s="63">
        <v>3821.9850585099998</v>
      </c>
      <c r="K26" s="63">
        <v>0</v>
      </c>
      <c r="L26" s="63">
        <v>0</v>
      </c>
      <c r="M26" s="63">
        <v>0</v>
      </c>
      <c r="N26" s="63">
        <v>0</v>
      </c>
      <c r="O26" s="64">
        <f t="shared" si="1"/>
        <v>26091.629810009999</v>
      </c>
      <c r="P26" s="15"/>
      <c r="Q26" s="13"/>
    </row>
    <row r="27" spans="2:17" s="14" customFormat="1" ht="15.75" customHeight="1" x14ac:dyDescent="0.25">
      <c r="B27" s="58" t="s">
        <v>57</v>
      </c>
      <c r="C27" s="63">
        <v>3804.4340418500001</v>
      </c>
      <c r="D27" s="63">
        <v>3211.7739839999999</v>
      </c>
      <c r="E27" s="63">
        <v>3399.9899639999999</v>
      </c>
      <c r="F27" s="63">
        <v>4445.8579929300004</v>
      </c>
      <c r="G27" s="63">
        <v>3741.4972899300001</v>
      </c>
      <c r="H27" s="63">
        <v>3810.2558212399999</v>
      </c>
      <c r="I27" s="63">
        <v>3533.4585183200002</v>
      </c>
      <c r="J27" s="63">
        <v>4445.8579929300004</v>
      </c>
      <c r="K27" s="63">
        <v>0</v>
      </c>
      <c r="L27" s="63">
        <v>0</v>
      </c>
      <c r="M27" s="63">
        <v>0</v>
      </c>
      <c r="N27" s="63">
        <v>0</v>
      </c>
      <c r="O27" s="64">
        <f t="shared" si="1"/>
        <v>30393.125605199999</v>
      </c>
      <c r="P27" s="15"/>
      <c r="Q27" s="13"/>
    </row>
    <row r="28" spans="2:17" s="14" customFormat="1" ht="15.75" customHeight="1" x14ac:dyDescent="0.25">
      <c r="B28" s="58" t="s">
        <v>86</v>
      </c>
      <c r="C28" s="63">
        <v>24497.947868349998</v>
      </c>
      <c r="D28" s="63">
        <v>22244.299156950001</v>
      </c>
      <c r="E28" s="63">
        <v>21755.749329029997</v>
      </c>
      <c r="F28" s="63">
        <v>23274.96144033</v>
      </c>
      <c r="G28" s="63">
        <v>23855.532818939999</v>
      </c>
      <c r="H28" s="63">
        <v>24323.657444599998</v>
      </c>
      <c r="I28" s="63">
        <v>26133.090691320001</v>
      </c>
      <c r="J28" s="63">
        <v>27827.24140585</v>
      </c>
      <c r="K28" s="63">
        <v>0</v>
      </c>
      <c r="L28" s="63">
        <v>0</v>
      </c>
      <c r="M28" s="63">
        <v>0</v>
      </c>
      <c r="N28" s="63">
        <v>0</v>
      </c>
      <c r="O28" s="64">
        <f t="shared" si="1"/>
        <v>193912.48015536997</v>
      </c>
      <c r="P28" s="15"/>
      <c r="Q28" s="13"/>
    </row>
    <row r="29" spans="2:17" s="11" customFormat="1" ht="15.75" customHeight="1" x14ac:dyDescent="0.25">
      <c r="B29" s="58" t="s">
        <v>59</v>
      </c>
      <c r="C29" s="63">
        <v>2089.90696596</v>
      </c>
      <c r="D29" s="63">
        <v>2423.8183211700002</v>
      </c>
      <c r="E29" s="63">
        <v>1758.01197796</v>
      </c>
      <c r="F29" s="63">
        <v>2125.3474186200001</v>
      </c>
      <c r="G29" s="63">
        <v>2563.82906499</v>
      </c>
      <c r="H29" s="63">
        <v>2317.6536343500002</v>
      </c>
      <c r="I29" s="63">
        <v>2908.6070792699998</v>
      </c>
      <c r="J29" s="63">
        <v>2885.6953714699998</v>
      </c>
      <c r="K29" s="63">
        <v>3233.5337102899998</v>
      </c>
      <c r="L29" s="63">
        <v>0</v>
      </c>
      <c r="M29" s="63">
        <v>0</v>
      </c>
      <c r="N29" s="63">
        <v>0</v>
      </c>
      <c r="O29" s="64">
        <f t="shared" si="1"/>
        <v>22306.403544080003</v>
      </c>
      <c r="P29" s="12"/>
      <c r="Q29" s="10"/>
    </row>
    <row r="30" spans="2:17" s="14" customFormat="1" ht="15.75" customHeight="1" x14ac:dyDescent="0.25">
      <c r="B30" s="58" t="s">
        <v>60</v>
      </c>
      <c r="C30" s="63">
        <v>12526.253978999999</v>
      </c>
      <c r="D30" s="63">
        <v>10843.025987000001</v>
      </c>
      <c r="E30" s="63">
        <v>11356.826518</v>
      </c>
      <c r="F30" s="63">
        <v>11278.111937</v>
      </c>
      <c r="G30" s="63">
        <v>11802.915779000001</v>
      </c>
      <c r="H30" s="63">
        <v>11895.28117</v>
      </c>
      <c r="I30" s="63">
        <v>11663.638940999999</v>
      </c>
      <c r="J30" s="63">
        <v>13506.774242</v>
      </c>
      <c r="K30" s="63">
        <v>0</v>
      </c>
      <c r="L30" s="63">
        <v>0</v>
      </c>
      <c r="M30" s="63">
        <v>0</v>
      </c>
      <c r="N30" s="63">
        <v>0</v>
      </c>
      <c r="O30" s="64">
        <f t="shared" si="1"/>
        <v>94872.828552999999</v>
      </c>
      <c r="P30" s="12"/>
      <c r="Q30" s="13"/>
    </row>
    <row r="31" spans="2:17" s="14" customFormat="1" ht="15.75" customHeight="1" x14ac:dyDescent="0.25">
      <c r="B31" s="58" t="s">
        <v>61</v>
      </c>
      <c r="C31" s="63">
        <v>1996.8372934200002</v>
      </c>
      <c r="D31" s="63">
        <v>2070.7690524300001</v>
      </c>
      <c r="E31" s="63">
        <v>1857.5492741600001</v>
      </c>
      <c r="F31" s="63">
        <v>2012.4578589300002</v>
      </c>
      <c r="G31" s="63">
        <v>2163.8596822600002</v>
      </c>
      <c r="H31" s="63">
        <v>1974.1528938900001</v>
      </c>
      <c r="I31" s="63">
        <v>2000.87423724</v>
      </c>
      <c r="J31" s="63">
        <v>2470.7704171799996</v>
      </c>
      <c r="K31" s="63">
        <v>0</v>
      </c>
      <c r="L31" s="63">
        <v>0</v>
      </c>
      <c r="M31" s="63">
        <v>0</v>
      </c>
      <c r="N31" s="63">
        <v>0</v>
      </c>
      <c r="O31" s="64">
        <f t="shared" si="1"/>
        <v>16547.270709509998</v>
      </c>
      <c r="P31" s="12"/>
      <c r="Q31" s="13"/>
    </row>
    <row r="32" spans="2:17" ht="22.5" customHeight="1" x14ac:dyDescent="0.2">
      <c r="B32" s="65" t="s">
        <v>82</v>
      </c>
      <c r="C32" s="66">
        <f t="shared" ref="C32:O32" si="2">SUM(C8:C31)</f>
        <v>412523.79660591786</v>
      </c>
      <c r="D32" s="66">
        <f t="shared" si="2"/>
        <v>351335.69562990003</v>
      </c>
      <c r="E32" s="66">
        <f t="shared" si="2"/>
        <v>364105.34173236997</v>
      </c>
      <c r="F32" s="66">
        <f t="shared" si="2"/>
        <v>379968.18552674988</v>
      </c>
      <c r="G32" s="66">
        <f t="shared" si="2"/>
        <v>385225.55089772004</v>
      </c>
      <c r="H32" s="66">
        <f t="shared" si="2"/>
        <v>376510.23856560001</v>
      </c>
      <c r="I32" s="66">
        <f t="shared" si="2"/>
        <v>395993.30768318992</v>
      </c>
      <c r="J32" s="66">
        <f t="shared" si="2"/>
        <v>234988.15803392007</v>
      </c>
      <c r="K32" s="66">
        <f t="shared" si="2"/>
        <v>14853.60960045</v>
      </c>
      <c r="L32" s="66">
        <f t="shared" si="2"/>
        <v>0</v>
      </c>
      <c r="M32" s="66">
        <f t="shared" si="2"/>
        <v>0</v>
      </c>
      <c r="N32" s="66">
        <f t="shared" si="2"/>
        <v>0</v>
      </c>
      <c r="O32" s="66">
        <f t="shared" si="2"/>
        <v>2915503.8842758173</v>
      </c>
      <c r="P32" s="12"/>
    </row>
    <row r="33" spans="2:15" s="28" customFormat="1" ht="21.75" customHeight="1" x14ac:dyDescent="0.2">
      <c r="B33" s="83" t="s">
        <v>28</v>
      </c>
      <c r="C33" s="86"/>
      <c r="D33" s="86"/>
      <c r="E33" s="86"/>
    </row>
    <row r="34" spans="2:15" s="28" customFormat="1" ht="16.5" customHeight="1" x14ac:dyDescent="0.2">
      <c r="B34" s="84" t="s">
        <v>84</v>
      </c>
      <c r="C34" s="87"/>
    </row>
    <row r="35" spans="2:15" s="61" customFormat="1" ht="6.95" customHeight="1" thickBot="1" x14ac:dyDescent="0.3">
      <c r="B35" s="32"/>
      <c r="C35" s="51"/>
      <c r="D35" s="32"/>
      <c r="E35" s="32"/>
      <c r="F35" s="32"/>
      <c r="G35" s="32"/>
      <c r="H35" s="32"/>
      <c r="I35" s="32"/>
      <c r="J35" s="32"/>
      <c r="K35" s="32"/>
      <c r="L35" s="32"/>
      <c r="M35" s="32"/>
      <c r="N35" s="32"/>
      <c r="O35" s="32"/>
    </row>
    <row r="36" spans="2:15" ht="14.25" customHeight="1" x14ac:dyDescent="0.2">
      <c r="B36" s="33" t="s">
        <v>29</v>
      </c>
      <c r="C36" s="16"/>
      <c r="E36" s="16"/>
      <c r="F36" s="16"/>
    </row>
    <row r="37" spans="2:15" x14ac:dyDescent="0.2">
      <c r="C37" s="17"/>
      <c r="D37" s="17"/>
      <c r="E37" s="17"/>
    </row>
    <row r="38" spans="2:15" x14ac:dyDescent="0.2">
      <c r="C38" s="17"/>
      <c r="D38" s="17"/>
      <c r="E38" s="17"/>
    </row>
    <row r="39" spans="2:15" ht="20.25" x14ac:dyDescent="0.3">
      <c r="C39" s="17"/>
      <c r="D39" s="17"/>
      <c r="E39" s="17"/>
      <c r="F39" s="18"/>
    </row>
    <row r="40" spans="2:15" x14ac:dyDescent="0.2">
      <c r="C40" s="17"/>
      <c r="D40" s="17"/>
      <c r="E40" s="17"/>
    </row>
    <row r="41" spans="2:15" ht="14.25" x14ac:dyDescent="0.2">
      <c r="C41" s="19"/>
      <c r="D41" s="19"/>
      <c r="E41" s="19"/>
    </row>
    <row r="42" spans="2:15" x14ac:dyDescent="0.2">
      <c r="C42" s="20"/>
      <c r="D42" s="20"/>
      <c r="E42" s="20"/>
    </row>
    <row r="43" spans="2:15" x14ac:dyDescent="0.2">
      <c r="C43" s="21"/>
      <c r="D43" s="17"/>
      <c r="E43" s="17"/>
    </row>
    <row r="44" spans="2:15" x14ac:dyDescent="0.2">
      <c r="C44" s="17"/>
      <c r="D44" s="17"/>
      <c r="E44" s="17"/>
    </row>
    <row r="45" spans="2:15" x14ac:dyDescent="0.2">
      <c r="C45" s="17"/>
      <c r="D45" s="17"/>
      <c r="E45" s="17"/>
    </row>
    <row r="46" spans="2:15" x14ac:dyDescent="0.2">
      <c r="C46" s="17"/>
      <c r="D46" s="17"/>
      <c r="E46" s="17"/>
    </row>
    <row r="47" spans="2:15" x14ac:dyDescent="0.2">
      <c r="C47" s="22"/>
      <c r="D47" s="22"/>
      <c r="E47" s="22"/>
    </row>
    <row r="48" spans="2:15" x14ac:dyDescent="0.2">
      <c r="C48" s="21"/>
      <c r="D48" s="21"/>
      <c r="E48" s="21"/>
    </row>
  </sheetData>
  <mergeCells count="3">
    <mergeCell ref="B2:O2"/>
    <mergeCell ref="B3:O3"/>
    <mergeCell ref="B4:O4"/>
  </mergeCells>
  <printOptions horizontalCentered="1" verticalCentered="1"/>
  <pageMargins left="0" right="0" top="0" bottom="0" header="0" footer="0"/>
  <pageSetup paperSize="9" scale="68"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pageSetUpPr fitToPage="1"/>
  </sheetPr>
  <dimension ref="B1:Q48"/>
  <sheetViews>
    <sheetView showGridLines="0" zoomScale="85" zoomScaleNormal="85" workbookViewId="0">
      <selection activeCell="A6" sqref="A6"/>
    </sheetView>
  </sheetViews>
  <sheetFormatPr baseColWidth="10" defaultRowHeight="12.75" x14ac:dyDescent="0.2"/>
  <cols>
    <col min="1" max="1" width="1.28515625" customWidth="1"/>
    <col min="2" max="2" width="26.85546875" customWidth="1"/>
    <col min="3" max="15" width="15" customWidth="1"/>
  </cols>
  <sheetData>
    <row r="1" spans="2:17" ht="21" customHeight="1" x14ac:dyDescent="0.25">
      <c r="B1" s="1"/>
      <c r="C1" s="2"/>
      <c r="D1" s="3"/>
      <c r="E1" s="3"/>
      <c r="F1" s="3"/>
      <c r="G1" s="3"/>
      <c r="H1" s="3"/>
      <c r="I1" s="3"/>
      <c r="K1" s="4"/>
      <c r="N1" s="95" t="str">
        <f>+IIBB!N1</f>
        <v>Última actualización</v>
      </c>
      <c r="O1" s="96">
        <f>+IIBB!O1</f>
        <v>46297</v>
      </c>
    </row>
    <row r="2" spans="2:17" ht="21" customHeight="1" x14ac:dyDescent="0.3">
      <c r="B2" s="105" t="s">
        <v>3</v>
      </c>
      <c r="C2" s="105"/>
      <c r="D2" s="105"/>
      <c r="E2" s="105"/>
      <c r="F2" s="105"/>
      <c r="G2" s="105"/>
      <c r="H2" s="105"/>
      <c r="I2" s="105"/>
      <c r="J2" s="105"/>
      <c r="K2" s="105"/>
      <c r="L2" s="105"/>
      <c r="M2" s="105"/>
      <c r="N2" s="105"/>
      <c r="O2" s="105"/>
    </row>
    <row r="3" spans="2:17" ht="21" customHeight="1" x14ac:dyDescent="0.3">
      <c r="B3" s="106">
        <f>+IIBB!B3</f>
        <v>2026</v>
      </c>
      <c r="C3" s="107"/>
      <c r="D3" s="107"/>
      <c r="E3" s="107"/>
      <c r="F3" s="107"/>
      <c r="G3" s="107"/>
      <c r="H3" s="107"/>
      <c r="I3" s="107"/>
      <c r="J3" s="107"/>
      <c r="K3" s="107"/>
      <c r="L3" s="107"/>
      <c r="M3" s="107"/>
      <c r="N3" s="107"/>
      <c r="O3" s="107"/>
    </row>
    <row r="4" spans="2:17" ht="21" customHeight="1" x14ac:dyDescent="0.25">
      <c r="B4" s="108" t="s">
        <v>6</v>
      </c>
      <c r="C4" s="108"/>
      <c r="D4" s="108"/>
      <c r="E4" s="108"/>
      <c r="F4" s="108"/>
      <c r="G4" s="108"/>
      <c r="H4" s="108"/>
      <c r="I4" s="108"/>
      <c r="J4" s="108"/>
      <c r="K4" s="108"/>
      <c r="L4" s="108"/>
      <c r="M4" s="108"/>
      <c r="N4" s="108"/>
      <c r="O4" s="108"/>
    </row>
    <row r="5" spans="2:17" ht="21" customHeight="1" x14ac:dyDescent="0.4">
      <c r="C5" s="5"/>
      <c r="D5" s="6"/>
      <c r="E5" s="6"/>
      <c r="F5" s="6"/>
      <c r="G5" s="6"/>
      <c r="H5" s="7"/>
      <c r="I5" s="6"/>
    </row>
    <row r="6" spans="2:17" ht="30" customHeight="1" x14ac:dyDescent="0.2">
      <c r="B6" s="62" t="s">
        <v>30</v>
      </c>
      <c r="C6" s="62" t="s">
        <v>71</v>
      </c>
      <c r="D6" s="62" t="s">
        <v>70</v>
      </c>
      <c r="E6" s="62" t="s">
        <v>72</v>
      </c>
      <c r="F6" s="62" t="s">
        <v>73</v>
      </c>
      <c r="G6" s="62" t="s">
        <v>74</v>
      </c>
      <c r="H6" s="62" t="s">
        <v>75</v>
      </c>
      <c r="I6" s="62" t="s">
        <v>76</v>
      </c>
      <c r="J6" s="62" t="s">
        <v>77</v>
      </c>
      <c r="K6" s="62" t="s">
        <v>78</v>
      </c>
      <c r="L6" s="62" t="s">
        <v>79</v>
      </c>
      <c r="M6" s="62" t="s">
        <v>80</v>
      </c>
      <c r="N6" s="62" t="s">
        <v>81</v>
      </c>
      <c r="O6" s="62" t="s">
        <v>82</v>
      </c>
    </row>
    <row r="7" spans="2:17" s="8" customFormat="1" ht="15" hidden="1" customHeight="1" x14ac:dyDescent="0.7">
      <c r="B7" s="23"/>
      <c r="C7" s="23"/>
      <c r="D7" s="24"/>
      <c r="E7" s="24"/>
      <c r="F7" s="25"/>
      <c r="G7" s="26"/>
      <c r="H7" s="27"/>
      <c r="I7" s="27"/>
      <c r="J7" s="27"/>
      <c r="K7" s="27"/>
    </row>
    <row r="8" spans="2:17" s="11" customFormat="1" ht="15.75" customHeight="1" x14ac:dyDescent="0.25">
      <c r="B8" s="58" t="s">
        <v>87</v>
      </c>
      <c r="C8" s="63">
        <v>22764.400000000001</v>
      </c>
      <c r="D8" s="63">
        <v>87703.1</v>
      </c>
      <c r="E8" s="63">
        <v>35478.9</v>
      </c>
      <c r="F8" s="63">
        <v>70253.2</v>
      </c>
      <c r="G8" s="63">
        <v>22555.3</v>
      </c>
      <c r="H8" s="63">
        <v>72261.899999999994</v>
      </c>
      <c r="I8" s="63">
        <v>23775.7</v>
      </c>
      <c r="J8" s="63">
        <v>71069.7</v>
      </c>
      <c r="K8" s="63">
        <v>0</v>
      </c>
      <c r="L8" s="63">
        <v>0</v>
      </c>
      <c r="M8" s="63">
        <v>0</v>
      </c>
      <c r="N8" s="63">
        <v>0</v>
      </c>
      <c r="O8" s="64">
        <f t="shared" ref="O8" si="0">SUM(C8:N8)</f>
        <v>405862.19999999995</v>
      </c>
      <c r="P8" s="9"/>
      <c r="Q8" s="10"/>
    </row>
    <row r="9" spans="2:17" s="11" customFormat="1" ht="15.75" customHeight="1" x14ac:dyDescent="0.25">
      <c r="B9" s="58" t="s">
        <v>39</v>
      </c>
      <c r="C9" s="63">
        <v>27384.1503797974</v>
      </c>
      <c r="D9" s="63">
        <v>18634.388665910759</v>
      </c>
      <c r="E9" s="63">
        <v>120929.4187674624</v>
      </c>
      <c r="F9" s="63">
        <v>66791.682964341206</v>
      </c>
      <c r="G9" s="63">
        <v>62661.063190401466</v>
      </c>
      <c r="H9" s="63">
        <v>68342.61704120037</v>
      </c>
      <c r="I9" s="63">
        <v>69623.155031487739</v>
      </c>
      <c r="J9" s="63">
        <v>0</v>
      </c>
      <c r="K9" s="63">
        <v>0</v>
      </c>
      <c r="L9" s="63">
        <v>0</v>
      </c>
      <c r="M9" s="63">
        <v>0</v>
      </c>
      <c r="N9" s="63">
        <v>0</v>
      </c>
      <c r="O9" s="64">
        <f>SUM(C9:N9)</f>
        <v>434366.47604060132</v>
      </c>
      <c r="P9" s="9"/>
      <c r="Q9" s="10"/>
    </row>
    <row r="10" spans="2:17" s="14" customFormat="1" ht="15.75" customHeight="1" x14ac:dyDescent="0.25">
      <c r="B10" s="58" t="s">
        <v>40</v>
      </c>
      <c r="C10" s="63">
        <v>625.53176228999996</v>
      </c>
      <c r="D10" s="63">
        <v>938.17277266999997</v>
      </c>
      <c r="E10" s="63">
        <v>2007.5205819600001</v>
      </c>
      <c r="F10" s="63">
        <v>1904.25117703</v>
      </c>
      <c r="G10" s="63">
        <v>1276.8003590999999</v>
      </c>
      <c r="H10" s="63">
        <v>877.43017222000003</v>
      </c>
      <c r="I10" s="63">
        <v>1344.6700454899999</v>
      </c>
      <c r="J10" s="63">
        <v>806.23776937000002</v>
      </c>
      <c r="K10" s="63">
        <v>357.16084792999999</v>
      </c>
      <c r="L10" s="63">
        <v>0</v>
      </c>
      <c r="M10" s="63">
        <v>0</v>
      </c>
      <c r="N10" s="63">
        <v>0</v>
      </c>
      <c r="O10" s="64">
        <f t="shared" ref="O10:O31" si="1">SUM(C10:N10)</f>
        <v>10137.775488059999</v>
      </c>
      <c r="P10" s="12"/>
      <c r="Q10" s="13"/>
    </row>
    <row r="11" spans="2:17" s="14" customFormat="1" ht="15.75" customHeight="1" x14ac:dyDescent="0.25">
      <c r="B11" s="58" t="s">
        <v>41</v>
      </c>
      <c r="C11" s="63">
        <v>13494.366532</v>
      </c>
      <c r="D11" s="63">
        <v>19007.169955000001</v>
      </c>
      <c r="E11" s="63">
        <v>26153.404033999999</v>
      </c>
      <c r="F11" s="63">
        <v>19064.583570999999</v>
      </c>
      <c r="G11" s="63">
        <v>9352.3090900000007</v>
      </c>
      <c r="H11" s="63">
        <v>9548.4751620000006</v>
      </c>
      <c r="I11" s="63">
        <v>9738.4618410000003</v>
      </c>
      <c r="J11" s="63">
        <v>9304.1712559999996</v>
      </c>
      <c r="K11" s="63">
        <v>0</v>
      </c>
      <c r="L11" s="63">
        <v>0</v>
      </c>
      <c r="M11" s="63">
        <v>0</v>
      </c>
      <c r="N11" s="63">
        <v>0</v>
      </c>
      <c r="O11" s="64">
        <f t="shared" si="1"/>
        <v>115662.94144099999</v>
      </c>
      <c r="P11" s="12"/>
      <c r="Q11" s="13"/>
    </row>
    <row r="12" spans="2:17" s="14" customFormat="1" ht="15.75" customHeight="1" x14ac:dyDescent="0.25">
      <c r="B12" s="58" t="s">
        <v>42</v>
      </c>
      <c r="C12" s="63">
        <v>0</v>
      </c>
      <c r="D12" s="63">
        <v>0</v>
      </c>
      <c r="E12" s="63">
        <v>0</v>
      </c>
      <c r="F12" s="63">
        <v>0</v>
      </c>
      <c r="G12" s="63">
        <v>0</v>
      </c>
      <c r="H12" s="63">
        <v>0</v>
      </c>
      <c r="I12" s="63">
        <v>0</v>
      </c>
      <c r="J12" s="63">
        <v>0</v>
      </c>
      <c r="K12" s="63">
        <v>0</v>
      </c>
      <c r="L12" s="63">
        <v>0</v>
      </c>
      <c r="M12" s="63">
        <v>0</v>
      </c>
      <c r="N12" s="63">
        <v>0</v>
      </c>
      <c r="O12" s="64">
        <f t="shared" si="1"/>
        <v>0</v>
      </c>
      <c r="P12" s="12"/>
      <c r="Q12" s="13"/>
    </row>
    <row r="13" spans="2:17" s="14" customFormat="1" ht="15.75" customHeight="1" x14ac:dyDescent="0.25">
      <c r="B13" s="58" t="s">
        <v>43</v>
      </c>
      <c r="C13" s="63">
        <v>0</v>
      </c>
      <c r="D13" s="63">
        <v>0</v>
      </c>
      <c r="E13" s="63">
        <v>0</v>
      </c>
      <c r="F13" s="63">
        <v>0</v>
      </c>
      <c r="G13" s="63">
        <v>0</v>
      </c>
      <c r="H13" s="63">
        <v>0</v>
      </c>
      <c r="I13" s="63">
        <v>0</v>
      </c>
      <c r="J13" s="63">
        <v>0</v>
      </c>
      <c r="K13" s="63">
        <v>0</v>
      </c>
      <c r="L13" s="63">
        <v>0</v>
      </c>
      <c r="M13" s="63">
        <v>0</v>
      </c>
      <c r="N13" s="63">
        <v>0</v>
      </c>
      <c r="O13" s="64">
        <f t="shared" si="1"/>
        <v>0</v>
      </c>
      <c r="P13" s="12"/>
      <c r="Q13" s="13"/>
    </row>
    <row r="14" spans="2:17" s="14" customFormat="1" ht="15.75" customHeight="1" x14ac:dyDescent="0.25">
      <c r="B14" s="59" t="s">
        <v>44</v>
      </c>
      <c r="C14" s="63">
        <v>0</v>
      </c>
      <c r="D14" s="63">
        <v>0</v>
      </c>
      <c r="E14" s="63">
        <v>0</v>
      </c>
      <c r="F14" s="63">
        <v>0</v>
      </c>
      <c r="G14" s="63">
        <v>0</v>
      </c>
      <c r="H14" s="63">
        <v>0</v>
      </c>
      <c r="I14" s="63">
        <v>0</v>
      </c>
      <c r="J14" s="63">
        <v>0</v>
      </c>
      <c r="K14" s="63">
        <v>0</v>
      </c>
      <c r="L14" s="63">
        <v>0</v>
      </c>
      <c r="M14" s="63">
        <v>0</v>
      </c>
      <c r="N14" s="63">
        <v>0</v>
      </c>
      <c r="O14" s="64">
        <f t="shared" si="1"/>
        <v>0</v>
      </c>
      <c r="P14" s="12"/>
      <c r="Q14" s="13"/>
    </row>
    <row r="15" spans="2:17" s="14" customFormat="1" ht="15.75" customHeight="1" x14ac:dyDescent="0.25">
      <c r="B15" s="58" t="s">
        <v>45</v>
      </c>
      <c r="C15" s="63">
        <v>2998.2586489999999</v>
      </c>
      <c r="D15" s="63">
        <v>2075.4131969999999</v>
      </c>
      <c r="E15" s="63">
        <v>6963.6916499999998</v>
      </c>
      <c r="F15" s="63">
        <v>30426.658221000002</v>
      </c>
      <c r="G15" s="63">
        <v>17627.227651000001</v>
      </c>
      <c r="H15" s="63">
        <v>5160.1875220000002</v>
      </c>
      <c r="I15" s="63">
        <v>20107.158447000002</v>
      </c>
      <c r="J15" s="63">
        <v>4815.5486849999998</v>
      </c>
      <c r="K15" s="63">
        <v>0</v>
      </c>
      <c r="L15" s="63">
        <v>0</v>
      </c>
      <c r="M15" s="63">
        <v>0</v>
      </c>
      <c r="N15" s="63">
        <v>0</v>
      </c>
      <c r="O15" s="64">
        <f t="shared" si="1"/>
        <v>90174.144022000008</v>
      </c>
      <c r="P15" s="12"/>
      <c r="Q15" s="13"/>
    </row>
    <row r="16" spans="2:17" s="14" customFormat="1" ht="15.75" customHeight="1" x14ac:dyDescent="0.25">
      <c r="B16" s="58" t="s">
        <v>46</v>
      </c>
      <c r="C16" s="63">
        <v>0</v>
      </c>
      <c r="D16" s="63">
        <v>0</v>
      </c>
      <c r="E16" s="63">
        <v>0</v>
      </c>
      <c r="F16" s="63">
        <v>0</v>
      </c>
      <c r="G16" s="63">
        <v>0</v>
      </c>
      <c r="H16" s="63">
        <v>0</v>
      </c>
      <c r="I16" s="63">
        <v>0</v>
      </c>
      <c r="J16" s="63">
        <v>0</v>
      </c>
      <c r="K16" s="63">
        <v>0</v>
      </c>
      <c r="L16" s="63">
        <v>0</v>
      </c>
      <c r="M16" s="63">
        <v>0</v>
      </c>
      <c r="N16" s="63">
        <v>0</v>
      </c>
      <c r="O16" s="64">
        <f t="shared" si="1"/>
        <v>0</v>
      </c>
      <c r="P16" s="12"/>
      <c r="Q16" s="13"/>
    </row>
    <row r="17" spans="2:17" s="14" customFormat="1" ht="15.75" customHeight="1" x14ac:dyDescent="0.25">
      <c r="B17" s="58" t="s">
        <v>47</v>
      </c>
      <c r="C17" s="63">
        <v>0</v>
      </c>
      <c r="D17" s="63">
        <v>0</v>
      </c>
      <c r="E17" s="63">
        <v>0</v>
      </c>
      <c r="F17" s="63">
        <v>0</v>
      </c>
      <c r="G17" s="63">
        <v>0</v>
      </c>
      <c r="H17" s="63">
        <v>0</v>
      </c>
      <c r="I17" s="63">
        <v>0</v>
      </c>
      <c r="J17" s="63">
        <v>0</v>
      </c>
      <c r="K17" s="63">
        <v>0</v>
      </c>
      <c r="L17" s="63">
        <v>0</v>
      </c>
      <c r="M17" s="63">
        <v>0</v>
      </c>
      <c r="N17" s="63">
        <v>0</v>
      </c>
      <c r="O17" s="64">
        <f t="shared" si="1"/>
        <v>0</v>
      </c>
      <c r="P17" s="12"/>
      <c r="Q17" s="13"/>
    </row>
    <row r="18" spans="2:17" s="11" customFormat="1" ht="15.75" customHeight="1" x14ac:dyDescent="0.25">
      <c r="B18" s="58" t="s">
        <v>48</v>
      </c>
      <c r="C18" s="63">
        <v>2514.5516626399999</v>
      </c>
      <c r="D18" s="63">
        <v>4482.84153608</v>
      </c>
      <c r="E18" s="63">
        <v>3029.0528912899999</v>
      </c>
      <c r="F18" s="63">
        <v>4215.95658912</v>
      </c>
      <c r="G18" s="63">
        <v>2439.4792026599998</v>
      </c>
      <c r="H18" s="63">
        <v>4416.1244420900002</v>
      </c>
      <c r="I18" s="63">
        <v>2202.5879471900002</v>
      </c>
      <c r="J18" s="63">
        <v>0</v>
      </c>
      <c r="K18" s="63">
        <v>0</v>
      </c>
      <c r="L18" s="63">
        <v>0</v>
      </c>
      <c r="M18" s="63">
        <v>0</v>
      </c>
      <c r="N18" s="63">
        <v>0</v>
      </c>
      <c r="O18" s="64">
        <f t="shared" si="1"/>
        <v>23300.59427107</v>
      </c>
      <c r="P18" s="9"/>
      <c r="Q18" s="10"/>
    </row>
    <row r="19" spans="2:17" s="14" customFormat="1" ht="15.75" customHeight="1" x14ac:dyDescent="0.25">
      <c r="B19" s="58" t="s">
        <v>49</v>
      </c>
      <c r="C19" s="63">
        <v>465.70864434999999</v>
      </c>
      <c r="D19" s="63">
        <v>561.50005839999994</v>
      </c>
      <c r="E19" s="63">
        <v>814.62135491000004</v>
      </c>
      <c r="F19" s="63">
        <v>1641.43106567</v>
      </c>
      <c r="G19" s="63">
        <v>997.96492693000005</v>
      </c>
      <c r="H19" s="63">
        <v>826.47227681000004</v>
      </c>
      <c r="I19" s="63">
        <v>852.04307415000005</v>
      </c>
      <c r="J19" s="63">
        <v>875.54139768000005</v>
      </c>
      <c r="K19" s="63">
        <v>0</v>
      </c>
      <c r="L19" s="63">
        <v>0</v>
      </c>
      <c r="M19" s="63">
        <v>0</v>
      </c>
      <c r="N19" s="63">
        <v>0</v>
      </c>
      <c r="O19" s="64">
        <f t="shared" si="1"/>
        <v>7035.2827989000007</v>
      </c>
      <c r="P19" s="12"/>
      <c r="Q19" s="13"/>
    </row>
    <row r="20" spans="2:17" s="14" customFormat="1" ht="15.75" customHeight="1" x14ac:dyDescent="0.25">
      <c r="B20" s="58" t="s">
        <v>50</v>
      </c>
      <c r="C20" s="63">
        <v>3641.0630381000001</v>
      </c>
      <c r="D20" s="63">
        <v>9223.3247193999996</v>
      </c>
      <c r="E20" s="63">
        <v>27438.118094000001</v>
      </c>
      <c r="F20" s="63">
        <v>7015.9967763000004</v>
      </c>
      <c r="G20" s="63">
        <v>10659.953303</v>
      </c>
      <c r="H20" s="63">
        <v>6768.5576339999998</v>
      </c>
      <c r="I20" s="63">
        <v>11999.366782999999</v>
      </c>
      <c r="J20" s="63">
        <v>6917.1726325</v>
      </c>
      <c r="K20" s="63">
        <v>0</v>
      </c>
      <c r="L20" s="63">
        <v>0</v>
      </c>
      <c r="M20" s="63">
        <v>0</v>
      </c>
      <c r="N20" s="63">
        <v>0</v>
      </c>
      <c r="O20" s="64">
        <f t="shared" si="1"/>
        <v>83663.55298030001</v>
      </c>
      <c r="P20" s="12"/>
      <c r="Q20" s="13"/>
    </row>
    <row r="21" spans="2:17" s="14" customFormat="1" ht="15.75" customHeight="1" x14ac:dyDescent="0.25">
      <c r="B21" s="58" t="s">
        <v>51</v>
      </c>
      <c r="C21" s="63">
        <v>303.47186245999995</v>
      </c>
      <c r="D21" s="63">
        <v>834.50002470000004</v>
      </c>
      <c r="E21" s="63">
        <v>1798.2174867599999</v>
      </c>
      <c r="F21" s="63">
        <v>893.73962815999994</v>
      </c>
      <c r="G21" s="63">
        <v>651.02606307000008</v>
      </c>
      <c r="H21" s="63">
        <v>556.04835772000001</v>
      </c>
      <c r="I21" s="63">
        <v>591.98693896000009</v>
      </c>
      <c r="J21" s="63">
        <v>577.92942160000007</v>
      </c>
      <c r="K21" s="63">
        <v>0</v>
      </c>
      <c r="L21" s="63">
        <v>0</v>
      </c>
      <c r="M21" s="63">
        <v>0</v>
      </c>
      <c r="N21" s="63">
        <v>0</v>
      </c>
      <c r="O21" s="64">
        <f t="shared" si="1"/>
        <v>6206.9197834300003</v>
      </c>
      <c r="P21" s="15"/>
      <c r="Q21" s="13"/>
    </row>
    <row r="22" spans="2:17" s="14" customFormat="1" ht="15.75" customHeight="1" x14ac:dyDescent="0.25">
      <c r="B22" s="58" t="s">
        <v>52</v>
      </c>
      <c r="C22" s="63">
        <v>0</v>
      </c>
      <c r="D22" s="63">
        <v>0</v>
      </c>
      <c r="E22" s="63">
        <v>0</v>
      </c>
      <c r="F22" s="63">
        <v>0</v>
      </c>
      <c r="G22" s="63">
        <v>0</v>
      </c>
      <c r="H22" s="63">
        <v>0</v>
      </c>
      <c r="I22" s="63">
        <v>0</v>
      </c>
      <c r="J22" s="63">
        <v>0</v>
      </c>
      <c r="K22" s="63">
        <v>0</v>
      </c>
      <c r="L22" s="63">
        <v>0</v>
      </c>
      <c r="M22" s="63">
        <v>0</v>
      </c>
      <c r="N22" s="63">
        <v>0</v>
      </c>
      <c r="O22" s="64">
        <f t="shared" si="1"/>
        <v>0</v>
      </c>
      <c r="P22" s="15"/>
      <c r="Q22" s="13"/>
    </row>
    <row r="23" spans="2:17" s="14" customFormat="1" ht="15.75" customHeight="1" x14ac:dyDescent="0.25">
      <c r="B23" s="58" t="s">
        <v>53</v>
      </c>
      <c r="C23" s="63">
        <v>9743.4199265200004</v>
      </c>
      <c r="D23" s="63">
        <v>16454.093812999999</v>
      </c>
      <c r="E23" s="63">
        <v>10684.509840000001</v>
      </c>
      <c r="F23" s="63">
        <v>5819.8706356700004</v>
      </c>
      <c r="G23" s="63">
        <v>4873.1014590000004</v>
      </c>
      <c r="H23" s="63">
        <v>5416.7867256899999</v>
      </c>
      <c r="I23" s="63">
        <v>6153.3430570099999</v>
      </c>
      <c r="J23" s="63">
        <v>5826.3828884899995</v>
      </c>
      <c r="K23" s="63">
        <v>0</v>
      </c>
      <c r="L23" s="63">
        <v>0</v>
      </c>
      <c r="M23" s="63">
        <v>0</v>
      </c>
      <c r="N23" s="63">
        <v>0</v>
      </c>
      <c r="O23" s="64">
        <f t="shared" si="1"/>
        <v>64971.508345379996</v>
      </c>
      <c r="P23" s="15"/>
      <c r="Q23" s="13"/>
    </row>
    <row r="24" spans="2:17" s="14" customFormat="1" ht="15.75" customHeight="1" x14ac:dyDescent="0.25">
      <c r="B24" s="58" t="s">
        <v>54</v>
      </c>
      <c r="C24" s="63">
        <v>0</v>
      </c>
      <c r="D24" s="63">
        <v>0</v>
      </c>
      <c r="E24" s="63">
        <v>0</v>
      </c>
      <c r="F24" s="63">
        <v>0</v>
      </c>
      <c r="G24" s="63">
        <v>0</v>
      </c>
      <c r="H24" s="63">
        <v>0</v>
      </c>
      <c r="I24" s="63">
        <v>0</v>
      </c>
      <c r="J24" s="63">
        <v>0</v>
      </c>
      <c r="K24" s="63">
        <v>0</v>
      </c>
      <c r="L24" s="63">
        <v>0</v>
      </c>
      <c r="M24" s="63">
        <v>0</v>
      </c>
      <c r="N24" s="63">
        <v>0</v>
      </c>
      <c r="O24" s="64">
        <f t="shared" si="1"/>
        <v>0</v>
      </c>
      <c r="P24" s="15"/>
      <c r="Q24" s="13"/>
    </row>
    <row r="25" spans="2:17" s="14" customFormat="1" ht="15.75" customHeight="1" x14ac:dyDescent="0.25">
      <c r="B25" s="58" t="s">
        <v>55</v>
      </c>
      <c r="C25" s="63">
        <v>1581.2250899999999</v>
      </c>
      <c r="D25" s="63">
        <v>1359.8950319999999</v>
      </c>
      <c r="E25" s="63">
        <v>2856.921155</v>
      </c>
      <c r="F25" s="63">
        <v>7097.159173</v>
      </c>
      <c r="G25" s="63">
        <v>3067.020935</v>
      </c>
      <c r="H25" s="63">
        <v>2461.5450219999998</v>
      </c>
      <c r="I25" s="63">
        <v>2545.148823</v>
      </c>
      <c r="J25" s="63">
        <v>2970.5414470000001</v>
      </c>
      <c r="K25" s="63">
        <v>0</v>
      </c>
      <c r="L25" s="63">
        <v>0</v>
      </c>
      <c r="M25" s="63">
        <v>0</v>
      </c>
      <c r="N25" s="63">
        <v>0</v>
      </c>
      <c r="O25" s="64">
        <f t="shared" si="1"/>
        <v>23939.456676999998</v>
      </c>
      <c r="P25" s="15"/>
      <c r="Q25" s="13"/>
    </row>
    <row r="26" spans="2:17" s="14" customFormat="1" ht="15.75" customHeight="1" x14ac:dyDescent="0.25">
      <c r="B26" s="58" t="s">
        <v>56</v>
      </c>
      <c r="C26" s="63">
        <v>1472.4475671800001</v>
      </c>
      <c r="D26" s="63">
        <v>6385.0071319999997</v>
      </c>
      <c r="E26" s="63">
        <v>3954.5505440000002</v>
      </c>
      <c r="F26" s="63">
        <v>1767.6581923900001</v>
      </c>
      <c r="G26" s="63">
        <v>1546.3329062800001</v>
      </c>
      <c r="H26" s="63">
        <v>1703.9690492899999</v>
      </c>
      <c r="I26" s="63">
        <v>1843.3674411100001</v>
      </c>
      <c r="J26" s="63">
        <v>1893.8761523000001</v>
      </c>
      <c r="K26" s="63">
        <v>0</v>
      </c>
      <c r="L26" s="63">
        <v>0</v>
      </c>
      <c r="M26" s="63">
        <v>0</v>
      </c>
      <c r="N26" s="63">
        <v>0</v>
      </c>
      <c r="O26" s="64">
        <f t="shared" si="1"/>
        <v>20567.208984549998</v>
      </c>
      <c r="P26" s="15"/>
      <c r="Q26" s="13"/>
    </row>
    <row r="27" spans="2:17" s="14" customFormat="1" ht="15.75" customHeight="1" x14ac:dyDescent="0.25">
      <c r="B27" s="58" t="s">
        <v>57</v>
      </c>
      <c r="C27" s="63">
        <v>0</v>
      </c>
      <c r="D27" s="63">
        <v>0</v>
      </c>
      <c r="E27" s="63">
        <v>0</v>
      </c>
      <c r="F27" s="63">
        <v>0</v>
      </c>
      <c r="G27" s="63">
        <v>0</v>
      </c>
      <c r="H27" s="63">
        <v>0</v>
      </c>
      <c r="I27" s="63">
        <v>0</v>
      </c>
      <c r="J27" s="63">
        <v>0</v>
      </c>
      <c r="K27" s="63">
        <v>0</v>
      </c>
      <c r="L27" s="63">
        <v>0</v>
      </c>
      <c r="M27" s="63">
        <v>0</v>
      </c>
      <c r="N27" s="63">
        <v>0</v>
      </c>
      <c r="O27" s="64">
        <f t="shared" si="1"/>
        <v>0</v>
      </c>
      <c r="P27" s="15"/>
      <c r="Q27" s="13"/>
    </row>
    <row r="28" spans="2:17" s="14" customFormat="1" ht="15.75" customHeight="1" x14ac:dyDescent="0.25">
      <c r="B28" s="58" t="s">
        <v>86</v>
      </c>
      <c r="C28" s="63">
        <v>353.47</v>
      </c>
      <c r="D28" s="63">
        <v>2992.89</v>
      </c>
      <c r="E28" s="63">
        <v>420.91</v>
      </c>
      <c r="F28" s="63">
        <v>466.8</v>
      </c>
      <c r="G28" s="63">
        <v>255.15</v>
      </c>
      <c r="H28" s="63">
        <v>639.42999999999995</v>
      </c>
      <c r="I28" s="63">
        <v>477.28668588125004</v>
      </c>
      <c r="J28" s="63">
        <v>417.42328338200002</v>
      </c>
      <c r="K28" s="63">
        <v>0</v>
      </c>
      <c r="L28" s="63">
        <v>0</v>
      </c>
      <c r="M28" s="63">
        <v>0</v>
      </c>
      <c r="N28" s="63">
        <v>0</v>
      </c>
      <c r="O28" s="64">
        <f t="shared" si="1"/>
        <v>6023.3599692632497</v>
      </c>
      <c r="P28" s="15"/>
      <c r="Q28" s="13"/>
    </row>
    <row r="29" spans="2:17" s="11" customFormat="1" ht="15.75" customHeight="1" x14ac:dyDescent="0.25">
      <c r="B29" s="58" t="s">
        <v>59</v>
      </c>
      <c r="C29" s="63">
        <v>595.72286411000005</v>
      </c>
      <c r="D29" s="63">
        <v>410.00332035000002</v>
      </c>
      <c r="E29" s="63">
        <v>499.69272637</v>
      </c>
      <c r="F29" s="63">
        <v>614.32215222000002</v>
      </c>
      <c r="G29" s="63">
        <v>3266.9260857899999</v>
      </c>
      <c r="H29" s="63">
        <v>2867.88610165</v>
      </c>
      <c r="I29" s="63">
        <v>1500.6678994700001</v>
      </c>
      <c r="J29" s="63">
        <v>1417.40229402</v>
      </c>
      <c r="K29" s="63">
        <v>1210.3882859</v>
      </c>
      <c r="L29" s="63">
        <v>0</v>
      </c>
      <c r="M29" s="63">
        <v>0</v>
      </c>
      <c r="N29" s="63">
        <v>0</v>
      </c>
      <c r="O29" s="64">
        <f t="shared" si="1"/>
        <v>12383.01172988</v>
      </c>
      <c r="P29" s="12"/>
      <c r="Q29" s="10"/>
    </row>
    <row r="30" spans="2:17" s="14" customFormat="1" ht="15.75" customHeight="1" x14ac:dyDescent="0.25">
      <c r="B30" s="58" t="s">
        <v>60</v>
      </c>
      <c r="C30" s="63">
        <v>6026.3847269999997</v>
      </c>
      <c r="D30" s="63">
        <v>3264.8930730000002</v>
      </c>
      <c r="E30" s="63">
        <v>3424.9287679999989</v>
      </c>
      <c r="F30" s="63">
        <v>3670.7549610000001</v>
      </c>
      <c r="G30" s="63">
        <v>3786.3549760000001</v>
      </c>
      <c r="H30" s="63">
        <v>4169.6392720000003</v>
      </c>
      <c r="I30" s="63">
        <v>4417.9903249999998</v>
      </c>
      <c r="J30" s="63">
        <v>4492.5463410000002</v>
      </c>
      <c r="K30" s="63">
        <v>0</v>
      </c>
      <c r="L30" s="63">
        <v>0</v>
      </c>
      <c r="M30" s="63">
        <v>0</v>
      </c>
      <c r="N30" s="63">
        <v>0</v>
      </c>
      <c r="O30" s="64">
        <f t="shared" si="1"/>
        <v>33253.492442999996</v>
      </c>
      <c r="P30" s="12"/>
      <c r="Q30" s="13"/>
    </row>
    <row r="31" spans="2:17" s="14" customFormat="1" ht="15.75" customHeight="1" x14ac:dyDescent="0.25">
      <c r="B31" s="58" t="s">
        <v>61</v>
      </c>
      <c r="C31" s="63">
        <v>0</v>
      </c>
      <c r="D31" s="63">
        <v>0</v>
      </c>
      <c r="E31" s="63">
        <v>0</v>
      </c>
      <c r="F31" s="63">
        <v>0</v>
      </c>
      <c r="G31" s="63">
        <v>0</v>
      </c>
      <c r="H31" s="63">
        <v>0</v>
      </c>
      <c r="I31" s="63">
        <v>0</v>
      </c>
      <c r="J31" s="63">
        <v>0</v>
      </c>
      <c r="K31" s="63">
        <v>0</v>
      </c>
      <c r="L31" s="63">
        <v>0</v>
      </c>
      <c r="M31" s="63">
        <v>0</v>
      </c>
      <c r="N31" s="63">
        <v>0</v>
      </c>
      <c r="O31" s="64">
        <f t="shared" si="1"/>
        <v>0</v>
      </c>
      <c r="P31" s="12"/>
      <c r="Q31" s="13"/>
    </row>
    <row r="32" spans="2:17" ht="22.5" customHeight="1" x14ac:dyDescent="0.2">
      <c r="B32" s="65" t="s">
        <v>82</v>
      </c>
      <c r="C32" s="66">
        <f t="shared" ref="C32:O32" si="2">SUM(C8:C31)</f>
        <v>93964.172705447389</v>
      </c>
      <c r="D32" s="66">
        <f t="shared" si="2"/>
        <v>174327.19329951081</v>
      </c>
      <c r="E32" s="66">
        <f t="shared" si="2"/>
        <v>246454.45789375241</v>
      </c>
      <c r="F32" s="66">
        <f t="shared" si="2"/>
        <v>221644.06510690117</v>
      </c>
      <c r="G32" s="66">
        <f t="shared" si="2"/>
        <v>145016.01014823149</v>
      </c>
      <c r="H32" s="66">
        <f t="shared" si="2"/>
        <v>186017.06877867031</v>
      </c>
      <c r="I32" s="66">
        <f t="shared" si="2"/>
        <v>157172.93433974899</v>
      </c>
      <c r="J32" s="66">
        <f t="shared" si="2"/>
        <v>111384.47356834199</v>
      </c>
      <c r="K32" s="66">
        <f t="shared" si="2"/>
        <v>1567.5491338300001</v>
      </c>
      <c r="L32" s="66">
        <f t="shared" si="2"/>
        <v>0</v>
      </c>
      <c r="M32" s="66">
        <f t="shared" si="2"/>
        <v>0</v>
      </c>
      <c r="N32" s="66">
        <f t="shared" si="2"/>
        <v>0</v>
      </c>
      <c r="O32" s="66">
        <f t="shared" si="2"/>
        <v>1337547.9249744345</v>
      </c>
      <c r="P32" s="12"/>
    </row>
    <row r="33" spans="2:15" s="28" customFormat="1" ht="21.75" customHeight="1" x14ac:dyDescent="0.2">
      <c r="B33" s="83" t="s">
        <v>28</v>
      </c>
      <c r="C33" s="86"/>
      <c r="D33" s="86"/>
      <c r="E33" s="86"/>
    </row>
    <row r="34" spans="2:15" s="28" customFormat="1" ht="16.5" customHeight="1" x14ac:dyDescent="0.2">
      <c r="B34" s="84" t="s">
        <v>84</v>
      </c>
      <c r="C34" s="87"/>
    </row>
    <row r="35" spans="2:15" s="61" customFormat="1" ht="6.95" customHeight="1" thickBot="1" x14ac:dyDescent="0.3">
      <c r="B35" s="32"/>
      <c r="C35" s="51"/>
      <c r="D35" s="32"/>
      <c r="E35" s="32"/>
      <c r="F35" s="32"/>
      <c r="G35" s="32"/>
      <c r="H35" s="32"/>
      <c r="I35" s="32"/>
      <c r="J35" s="32"/>
      <c r="K35" s="32"/>
      <c r="L35" s="32"/>
      <c r="M35" s="32"/>
      <c r="N35" s="32"/>
      <c r="O35" s="32"/>
    </row>
    <row r="36" spans="2:15" ht="14.25" customHeight="1" x14ac:dyDescent="0.2">
      <c r="B36" s="33" t="s">
        <v>29</v>
      </c>
      <c r="C36" s="16"/>
      <c r="E36" s="16"/>
      <c r="F36" s="16"/>
    </row>
    <row r="37" spans="2:15" x14ac:dyDescent="0.2">
      <c r="C37" s="17"/>
      <c r="D37" s="17"/>
      <c r="E37" s="17"/>
      <c r="F37" s="17"/>
      <c r="G37" s="17"/>
      <c r="H37" s="17"/>
      <c r="I37" s="17"/>
      <c r="J37" s="17"/>
      <c r="K37" s="17"/>
      <c r="L37" s="17"/>
      <c r="M37" s="17"/>
      <c r="N37" s="17"/>
      <c r="O37" s="17"/>
    </row>
    <row r="38" spans="2:15" x14ac:dyDescent="0.2">
      <c r="C38" s="17"/>
      <c r="D38" s="17"/>
      <c r="E38" s="17"/>
    </row>
    <row r="39" spans="2:15" ht="20.25" x14ac:dyDescent="0.3">
      <c r="C39" s="17"/>
      <c r="D39" s="17"/>
      <c r="E39" s="17"/>
      <c r="F39" s="18"/>
    </row>
    <row r="40" spans="2:15" x14ac:dyDescent="0.2">
      <c r="C40" s="17"/>
      <c r="D40" s="17"/>
      <c r="E40" s="17"/>
    </row>
    <row r="41" spans="2:15" ht="14.25" x14ac:dyDescent="0.2">
      <c r="C41" s="19"/>
      <c r="D41" s="19"/>
      <c r="E41" s="19"/>
    </row>
    <row r="42" spans="2:15" x14ac:dyDescent="0.2">
      <c r="C42" s="20"/>
      <c r="D42" s="20"/>
      <c r="E42" s="20"/>
    </row>
    <row r="43" spans="2:15" x14ac:dyDescent="0.2">
      <c r="C43" s="21"/>
      <c r="D43" s="17"/>
      <c r="E43" s="17"/>
    </row>
    <row r="44" spans="2:15" x14ac:dyDescent="0.2">
      <c r="C44" s="17"/>
      <c r="D44" s="17"/>
      <c r="E44" s="17"/>
    </row>
    <row r="45" spans="2:15" x14ac:dyDescent="0.2">
      <c r="C45" s="17"/>
      <c r="D45" s="17"/>
      <c r="E45" s="17"/>
    </row>
    <row r="46" spans="2:15" x14ac:dyDescent="0.2">
      <c r="C46" s="17"/>
      <c r="D46" s="17"/>
      <c r="E46" s="17"/>
    </row>
    <row r="47" spans="2:15" x14ac:dyDescent="0.2">
      <c r="C47" s="22"/>
      <c r="D47" s="22"/>
      <c r="E47" s="22"/>
    </row>
    <row r="48" spans="2:15" x14ac:dyDescent="0.2">
      <c r="C48" s="21"/>
      <c r="D48" s="21"/>
      <c r="E48" s="21"/>
    </row>
  </sheetData>
  <mergeCells count="3">
    <mergeCell ref="B2:O2"/>
    <mergeCell ref="B3:O3"/>
    <mergeCell ref="B4:O4"/>
  </mergeCells>
  <printOptions horizontalCentered="1" verticalCentered="1"/>
  <pageMargins left="0" right="0" top="0" bottom="0" header="0" footer="0"/>
  <pageSetup paperSize="9" scale="68"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pageSetUpPr fitToPage="1"/>
  </sheetPr>
  <dimension ref="B1:Q48"/>
  <sheetViews>
    <sheetView showGridLines="0" zoomScale="85" zoomScaleNormal="85" workbookViewId="0">
      <selection activeCell="K14" sqref="K14"/>
    </sheetView>
  </sheetViews>
  <sheetFormatPr baseColWidth="10" defaultRowHeight="12.75" x14ac:dyDescent="0.2"/>
  <cols>
    <col min="1" max="1" width="1.28515625" customWidth="1"/>
    <col min="2" max="2" width="26.85546875" customWidth="1"/>
    <col min="3" max="15" width="15" customWidth="1"/>
  </cols>
  <sheetData>
    <row r="1" spans="2:17" ht="21" customHeight="1" x14ac:dyDescent="0.25">
      <c r="B1" s="1"/>
      <c r="C1" s="2"/>
      <c r="D1" s="3"/>
      <c r="E1" s="3"/>
      <c r="F1" s="3"/>
      <c r="G1" s="3"/>
      <c r="H1" s="3"/>
      <c r="I1" s="3"/>
      <c r="K1" s="4"/>
      <c r="N1" s="95" t="str">
        <f>+IIBB!N1</f>
        <v>Última actualización</v>
      </c>
      <c r="O1" s="96">
        <f>+IIBB!O1</f>
        <v>46297</v>
      </c>
    </row>
    <row r="2" spans="2:17" ht="21" customHeight="1" x14ac:dyDescent="0.3">
      <c r="B2" s="105" t="s">
        <v>4</v>
      </c>
      <c r="C2" s="105"/>
      <c r="D2" s="105"/>
      <c r="E2" s="105"/>
      <c r="F2" s="105"/>
      <c r="G2" s="105"/>
      <c r="H2" s="105"/>
      <c r="I2" s="105"/>
      <c r="J2" s="105"/>
      <c r="K2" s="105"/>
      <c r="L2" s="105"/>
      <c r="M2" s="105"/>
      <c r="N2" s="105"/>
      <c r="O2" s="105"/>
    </row>
    <row r="3" spans="2:17" ht="21" customHeight="1" x14ac:dyDescent="0.3">
      <c r="B3" s="106">
        <f>+IIBB!B3</f>
        <v>2026</v>
      </c>
      <c r="C3" s="107"/>
      <c r="D3" s="107"/>
      <c r="E3" s="107"/>
      <c r="F3" s="107"/>
      <c r="G3" s="107"/>
      <c r="H3" s="107"/>
      <c r="I3" s="107"/>
      <c r="J3" s="107"/>
      <c r="K3" s="107"/>
      <c r="L3" s="107"/>
      <c r="M3" s="107"/>
      <c r="N3" s="107"/>
      <c r="O3" s="107"/>
    </row>
    <row r="4" spans="2:17" ht="21" customHeight="1" x14ac:dyDescent="0.25">
      <c r="B4" s="108" t="s">
        <v>6</v>
      </c>
      <c r="C4" s="108"/>
      <c r="D4" s="108"/>
      <c r="E4" s="108"/>
      <c r="F4" s="108"/>
      <c r="G4" s="108"/>
      <c r="H4" s="108"/>
      <c r="I4" s="108"/>
      <c r="J4" s="108"/>
      <c r="K4" s="108"/>
      <c r="L4" s="108"/>
      <c r="M4" s="108"/>
      <c r="N4" s="108"/>
      <c r="O4" s="108"/>
    </row>
    <row r="5" spans="2:17" ht="21" customHeight="1" x14ac:dyDescent="0.4">
      <c r="C5" s="5"/>
      <c r="D5" s="6"/>
      <c r="E5" s="6"/>
      <c r="F5" s="6"/>
      <c r="G5" s="6"/>
      <c r="H5" s="7"/>
      <c r="I5" s="6"/>
    </row>
    <row r="6" spans="2:17" ht="30" customHeight="1" x14ac:dyDescent="0.2">
      <c r="B6" s="62" t="s">
        <v>30</v>
      </c>
      <c r="C6" s="62" t="s">
        <v>71</v>
      </c>
      <c r="D6" s="62" t="s">
        <v>70</v>
      </c>
      <c r="E6" s="62" t="s">
        <v>72</v>
      </c>
      <c r="F6" s="62" t="s">
        <v>73</v>
      </c>
      <c r="G6" s="62" t="s">
        <v>74</v>
      </c>
      <c r="H6" s="62" t="s">
        <v>75</v>
      </c>
      <c r="I6" s="62" t="s">
        <v>76</v>
      </c>
      <c r="J6" s="62" t="s">
        <v>77</v>
      </c>
      <c r="K6" s="62" t="s">
        <v>78</v>
      </c>
      <c r="L6" s="62" t="s">
        <v>79</v>
      </c>
      <c r="M6" s="62" t="s">
        <v>80</v>
      </c>
      <c r="N6" s="62" t="s">
        <v>81</v>
      </c>
      <c r="O6" s="62" t="s">
        <v>82</v>
      </c>
    </row>
    <row r="7" spans="2:17" s="8" customFormat="1" ht="15" hidden="1" customHeight="1" x14ac:dyDescent="0.7">
      <c r="B7" s="23"/>
      <c r="C7" s="23"/>
      <c r="D7" s="24"/>
      <c r="E7" s="24"/>
      <c r="F7" s="25"/>
      <c r="G7" s="26"/>
      <c r="H7" s="27"/>
      <c r="I7" s="27"/>
      <c r="J7" s="27"/>
      <c r="K7" s="27"/>
    </row>
    <row r="8" spans="2:17" s="11" customFormat="1" ht="15.75" customHeight="1" x14ac:dyDescent="0.25">
      <c r="B8" s="58" t="s">
        <v>87</v>
      </c>
      <c r="C8" s="63">
        <v>66177.600000000006</v>
      </c>
      <c r="D8" s="63">
        <v>34761.1</v>
      </c>
      <c r="E8" s="63">
        <v>21763.4</v>
      </c>
      <c r="F8" s="63">
        <v>22766.1</v>
      </c>
      <c r="G8" s="63">
        <v>17718.400000000001</v>
      </c>
      <c r="H8" s="63">
        <v>13369.2</v>
      </c>
      <c r="I8" s="63">
        <v>14376.6</v>
      </c>
      <c r="J8" s="63">
        <v>11516.8</v>
      </c>
      <c r="K8" s="63">
        <v>0</v>
      </c>
      <c r="L8" s="63">
        <v>0</v>
      </c>
      <c r="M8" s="63">
        <v>0</v>
      </c>
      <c r="N8" s="63">
        <v>0</v>
      </c>
      <c r="O8" s="64">
        <f t="shared" ref="O8" si="0">SUM(C8:N8)</f>
        <v>202449.2</v>
      </c>
      <c r="P8" s="9"/>
      <c r="Q8" s="10"/>
    </row>
    <row r="9" spans="2:17" s="11" customFormat="1" ht="15.75" customHeight="1" x14ac:dyDescent="0.25">
      <c r="B9" s="58" t="s">
        <v>39</v>
      </c>
      <c r="C9" s="63">
        <v>31266.521861254379</v>
      </c>
      <c r="D9" s="63">
        <v>36016.228239241114</v>
      </c>
      <c r="E9" s="63">
        <v>39482.381236046262</v>
      </c>
      <c r="F9" s="63">
        <v>39679.532382512931</v>
      </c>
      <c r="G9" s="63">
        <v>46836.260840801297</v>
      </c>
      <c r="H9" s="63">
        <v>53690.278917646552</v>
      </c>
      <c r="I9" s="63">
        <v>50963.895533568197</v>
      </c>
      <c r="J9" s="63">
        <v>0</v>
      </c>
      <c r="K9" s="63">
        <v>0</v>
      </c>
      <c r="L9" s="63">
        <v>0</v>
      </c>
      <c r="M9" s="63">
        <v>0</v>
      </c>
      <c r="N9" s="63">
        <v>0</v>
      </c>
      <c r="O9" s="64">
        <f>SUM(C9:N9)</f>
        <v>297935.09901107074</v>
      </c>
      <c r="P9" s="9"/>
      <c r="Q9" s="10"/>
    </row>
    <row r="10" spans="2:17" s="14" customFormat="1" ht="15.75" customHeight="1" x14ac:dyDescent="0.25">
      <c r="B10" s="58" t="s">
        <v>40</v>
      </c>
      <c r="C10" s="63">
        <v>10.743643090000001</v>
      </c>
      <c r="D10" s="63">
        <v>21.433943920000001</v>
      </c>
      <c r="E10" s="63">
        <v>62.819595839999998</v>
      </c>
      <c r="F10" s="63">
        <v>33.303707559999999</v>
      </c>
      <c r="G10" s="63">
        <v>38.104525670000001</v>
      </c>
      <c r="H10" s="63">
        <v>50.697676469999998</v>
      </c>
      <c r="I10" s="63">
        <v>36.552014159999999</v>
      </c>
      <c r="J10" s="63">
        <v>76.149426020000007</v>
      </c>
      <c r="K10" s="63">
        <v>49.56957809</v>
      </c>
      <c r="L10" s="63">
        <v>0</v>
      </c>
      <c r="M10" s="63">
        <v>0</v>
      </c>
      <c r="N10" s="63">
        <v>0</v>
      </c>
      <c r="O10" s="64">
        <f t="shared" ref="O10:O31" si="1">SUM(C10:N10)</f>
        <v>379.37411082</v>
      </c>
      <c r="P10" s="12"/>
      <c r="Q10" s="13"/>
    </row>
    <row r="11" spans="2:17" s="14" customFormat="1" ht="15.75" customHeight="1" x14ac:dyDescent="0.25">
      <c r="B11" s="58" t="s">
        <v>41</v>
      </c>
      <c r="C11" s="63">
        <v>0</v>
      </c>
      <c r="D11" s="63">
        <v>0</v>
      </c>
      <c r="E11" s="63">
        <v>0</v>
      </c>
      <c r="F11" s="63">
        <v>0</v>
      </c>
      <c r="G11" s="63">
        <v>0</v>
      </c>
      <c r="H11" s="63">
        <v>0</v>
      </c>
      <c r="I11" s="63">
        <v>0</v>
      </c>
      <c r="J11" s="63">
        <v>0</v>
      </c>
      <c r="K11" s="63">
        <v>0</v>
      </c>
      <c r="L11" s="63">
        <v>0</v>
      </c>
      <c r="M11" s="63">
        <v>0</v>
      </c>
      <c r="N11" s="63">
        <v>0</v>
      </c>
      <c r="O11" s="64">
        <f t="shared" si="1"/>
        <v>0</v>
      </c>
      <c r="P11" s="12"/>
      <c r="Q11" s="13"/>
    </row>
    <row r="12" spans="2:17" s="14" customFormat="1" ht="15.75" customHeight="1" x14ac:dyDescent="0.25">
      <c r="B12" s="58" t="s">
        <v>42</v>
      </c>
      <c r="C12" s="63">
        <v>76.439363349999994</v>
      </c>
      <c r="D12" s="63">
        <v>47.317616159999993</v>
      </c>
      <c r="E12" s="63">
        <v>79.213274799999994</v>
      </c>
      <c r="F12" s="63">
        <v>73.033897890000006</v>
      </c>
      <c r="G12" s="63">
        <v>64.41850882</v>
      </c>
      <c r="H12" s="63">
        <v>68.546041720000005</v>
      </c>
      <c r="I12" s="63">
        <v>71.524767159999996</v>
      </c>
      <c r="J12" s="63">
        <v>0</v>
      </c>
      <c r="K12" s="63">
        <v>0</v>
      </c>
      <c r="L12" s="63">
        <v>0</v>
      </c>
      <c r="M12" s="63">
        <v>0</v>
      </c>
      <c r="N12" s="63">
        <v>0</v>
      </c>
      <c r="O12" s="64">
        <f t="shared" si="1"/>
        <v>480.49346989999998</v>
      </c>
      <c r="P12" s="12"/>
      <c r="Q12" s="13"/>
    </row>
    <row r="13" spans="2:17" s="14" customFormat="1" ht="15.75" customHeight="1" x14ac:dyDescent="0.25">
      <c r="B13" s="58" t="s">
        <v>43</v>
      </c>
      <c r="C13" s="63">
        <v>8561.4033364999996</v>
      </c>
      <c r="D13" s="63">
        <v>6263.5034180000002</v>
      </c>
      <c r="E13" s="63">
        <v>5981.8606490000002</v>
      </c>
      <c r="F13" s="63">
        <v>6277.3837884700006</v>
      </c>
      <c r="G13" s="63">
        <v>6384.8883939899997</v>
      </c>
      <c r="H13" s="63">
        <v>6545.4909246800007</v>
      </c>
      <c r="I13" s="63">
        <v>9024.5579675900008</v>
      </c>
      <c r="J13" s="63">
        <v>7794.7612235400011</v>
      </c>
      <c r="K13" s="63">
        <v>0</v>
      </c>
      <c r="L13" s="63">
        <v>0</v>
      </c>
      <c r="M13" s="63">
        <v>0</v>
      </c>
      <c r="N13" s="63">
        <v>0</v>
      </c>
      <c r="O13" s="64">
        <f t="shared" si="1"/>
        <v>56833.849701770007</v>
      </c>
      <c r="P13" s="12"/>
      <c r="Q13" s="13"/>
    </row>
    <row r="14" spans="2:17" s="14" customFormat="1" ht="15.75" customHeight="1" x14ac:dyDescent="0.25">
      <c r="B14" s="59" t="s">
        <v>44</v>
      </c>
      <c r="C14" s="63">
        <v>965.01556550999999</v>
      </c>
      <c r="D14" s="63">
        <v>1539.0932953500001</v>
      </c>
      <c r="E14" s="63">
        <v>833.02315976</v>
      </c>
      <c r="F14" s="63">
        <v>376.71736963999996</v>
      </c>
      <c r="G14" s="63">
        <v>113.85371247</v>
      </c>
      <c r="H14" s="63">
        <v>348.62374388000001</v>
      </c>
      <c r="I14" s="63">
        <v>126.76967604000001</v>
      </c>
      <c r="J14" s="63">
        <v>118.37397116</v>
      </c>
      <c r="K14" s="63">
        <v>95</v>
      </c>
      <c r="L14" s="63">
        <v>0</v>
      </c>
      <c r="M14" s="63">
        <v>0</v>
      </c>
      <c r="N14" s="63">
        <v>0</v>
      </c>
      <c r="O14" s="64">
        <f t="shared" si="1"/>
        <v>4516.4704938100012</v>
      </c>
      <c r="P14" s="12"/>
      <c r="Q14" s="13"/>
    </row>
    <row r="15" spans="2:17" s="14" customFormat="1" ht="15.75" customHeight="1" x14ac:dyDescent="0.25">
      <c r="B15" s="58" t="s">
        <v>45</v>
      </c>
      <c r="C15" s="63">
        <v>2407.6586529999995</v>
      </c>
      <c r="D15" s="63">
        <v>1922.4300929999999</v>
      </c>
      <c r="E15" s="63">
        <v>2385.3695809999999</v>
      </c>
      <c r="F15" s="63">
        <v>2499.0713889999997</v>
      </c>
      <c r="G15" s="63">
        <v>2471.3703030000001</v>
      </c>
      <c r="H15" s="63">
        <v>2692.0323550000003</v>
      </c>
      <c r="I15" s="63">
        <v>3271.0861500000001</v>
      </c>
      <c r="J15" s="63">
        <v>2782.7092320000002</v>
      </c>
      <c r="K15" s="63">
        <v>0</v>
      </c>
      <c r="L15" s="63">
        <v>0</v>
      </c>
      <c r="M15" s="63">
        <v>0</v>
      </c>
      <c r="N15" s="63">
        <v>0</v>
      </c>
      <c r="O15" s="64">
        <f t="shared" si="1"/>
        <v>20431.727756</v>
      </c>
      <c r="P15" s="12"/>
      <c r="Q15" s="13"/>
    </row>
    <row r="16" spans="2:17" s="14" customFormat="1" ht="15.75" customHeight="1" x14ac:dyDescent="0.25">
      <c r="B16" s="58" t="s">
        <v>46</v>
      </c>
      <c r="C16" s="63">
        <v>26.780123500000002</v>
      </c>
      <c r="D16" s="63">
        <v>32.620815010000001</v>
      </c>
      <c r="E16" s="63">
        <v>24.589942199999999</v>
      </c>
      <c r="F16" s="63">
        <v>24.426392939999999</v>
      </c>
      <c r="G16" s="63">
        <v>35.322749989999998</v>
      </c>
      <c r="H16" s="63">
        <v>75.128535970000001</v>
      </c>
      <c r="I16" s="63">
        <v>79.783358300000003</v>
      </c>
      <c r="J16" s="63">
        <v>79.013335789999999</v>
      </c>
      <c r="K16" s="63">
        <v>44.279351179999999</v>
      </c>
      <c r="L16" s="63">
        <v>0</v>
      </c>
      <c r="M16" s="63">
        <v>0</v>
      </c>
      <c r="N16" s="63">
        <v>0</v>
      </c>
      <c r="O16" s="64">
        <f t="shared" si="1"/>
        <v>421.94460487999999</v>
      </c>
      <c r="P16" s="12"/>
      <c r="Q16" s="13"/>
    </row>
    <row r="17" spans="2:17" s="14" customFormat="1" ht="15.75" customHeight="1" x14ac:dyDescent="0.25">
      <c r="B17" s="58" t="s">
        <v>47</v>
      </c>
      <c r="C17" s="63">
        <v>0</v>
      </c>
      <c r="D17" s="63">
        <v>0</v>
      </c>
      <c r="E17" s="63">
        <v>0</v>
      </c>
      <c r="F17" s="63">
        <v>0</v>
      </c>
      <c r="G17" s="63">
        <v>0</v>
      </c>
      <c r="H17" s="63">
        <v>0</v>
      </c>
      <c r="I17" s="63">
        <v>0</v>
      </c>
      <c r="J17" s="63">
        <v>0</v>
      </c>
      <c r="K17" s="63">
        <v>0</v>
      </c>
      <c r="L17" s="63">
        <v>0</v>
      </c>
      <c r="M17" s="63">
        <v>0</v>
      </c>
      <c r="N17" s="63">
        <v>0</v>
      </c>
      <c r="O17" s="64">
        <f t="shared" si="1"/>
        <v>0</v>
      </c>
      <c r="P17" s="12"/>
      <c r="Q17" s="13"/>
    </row>
    <row r="18" spans="2:17" s="11" customFormat="1" ht="15.75" customHeight="1" x14ac:dyDescent="0.25">
      <c r="B18" s="58" t="s">
        <v>48</v>
      </c>
      <c r="C18" s="63">
        <v>30.122651810000001</v>
      </c>
      <c r="D18" s="63">
        <v>22.839392029999996</v>
      </c>
      <c r="E18" s="63">
        <v>108.49174306</v>
      </c>
      <c r="F18" s="63">
        <v>410.29354231000002</v>
      </c>
      <c r="G18" s="63">
        <v>354.78623183999997</v>
      </c>
      <c r="H18" s="63">
        <v>312.97359441000003</v>
      </c>
      <c r="I18" s="63">
        <v>303.72665343</v>
      </c>
      <c r="J18" s="63">
        <v>0</v>
      </c>
      <c r="K18" s="63">
        <v>0</v>
      </c>
      <c r="L18" s="63">
        <v>0</v>
      </c>
      <c r="M18" s="63">
        <v>0</v>
      </c>
      <c r="N18" s="63">
        <v>0</v>
      </c>
      <c r="O18" s="64">
        <f t="shared" si="1"/>
        <v>1543.2338088900001</v>
      </c>
      <c r="P18" s="9"/>
      <c r="Q18" s="10"/>
    </row>
    <row r="19" spans="2:17" s="14" customFormat="1" ht="15.75" customHeight="1" x14ac:dyDescent="0.25">
      <c r="B19" s="58" t="s">
        <v>49</v>
      </c>
      <c r="C19" s="63">
        <v>0</v>
      </c>
      <c r="D19" s="63">
        <v>0</v>
      </c>
      <c r="E19" s="63">
        <v>0</v>
      </c>
      <c r="F19" s="63">
        <v>0</v>
      </c>
      <c r="G19" s="63">
        <v>0</v>
      </c>
      <c r="H19" s="63">
        <v>0</v>
      </c>
      <c r="I19" s="63">
        <v>0</v>
      </c>
      <c r="J19" s="63">
        <v>0</v>
      </c>
      <c r="K19" s="63">
        <v>0</v>
      </c>
      <c r="L19" s="63">
        <v>0</v>
      </c>
      <c r="M19" s="63">
        <v>0</v>
      </c>
      <c r="N19" s="63">
        <v>0</v>
      </c>
      <c r="O19" s="64">
        <f t="shared" si="1"/>
        <v>0</v>
      </c>
      <c r="P19" s="12"/>
      <c r="Q19" s="13"/>
    </row>
    <row r="20" spans="2:17" s="14" customFormat="1" ht="15.75" customHeight="1" x14ac:dyDescent="0.25">
      <c r="B20" s="58" t="s">
        <v>50</v>
      </c>
      <c r="C20" s="63">
        <v>0</v>
      </c>
      <c r="D20" s="63">
        <v>0</v>
      </c>
      <c r="E20" s="63">
        <v>0</v>
      </c>
      <c r="F20" s="63">
        <v>0</v>
      </c>
      <c r="G20" s="63">
        <v>0</v>
      </c>
      <c r="H20" s="63">
        <v>0</v>
      </c>
      <c r="I20" s="63">
        <v>0</v>
      </c>
      <c r="J20" s="63">
        <v>0</v>
      </c>
      <c r="K20" s="63">
        <v>0</v>
      </c>
      <c r="L20" s="63">
        <v>0</v>
      </c>
      <c r="M20" s="63">
        <v>0</v>
      </c>
      <c r="N20" s="63">
        <v>0</v>
      </c>
      <c r="O20" s="64">
        <f t="shared" si="1"/>
        <v>0</v>
      </c>
      <c r="P20" s="12"/>
      <c r="Q20" s="13"/>
    </row>
    <row r="21" spans="2:17" s="14" customFormat="1" ht="15.75" customHeight="1" x14ac:dyDescent="0.25">
      <c r="B21" s="58" t="s">
        <v>51</v>
      </c>
      <c r="C21" s="63">
        <v>209.43365573999998</v>
      </c>
      <c r="D21" s="63">
        <v>241.06002909</v>
      </c>
      <c r="E21" s="63">
        <v>216.99960604</v>
      </c>
      <c r="F21" s="63">
        <v>168.13488996000001</v>
      </c>
      <c r="G21" s="63">
        <v>219.28829995000001</v>
      </c>
      <c r="H21" s="63">
        <v>192.87112061000002</v>
      </c>
      <c r="I21" s="63">
        <v>222.53636571999999</v>
      </c>
      <c r="J21" s="63">
        <v>280.55892582000001</v>
      </c>
      <c r="K21" s="63">
        <v>0</v>
      </c>
      <c r="L21" s="63">
        <v>0</v>
      </c>
      <c r="M21" s="63">
        <v>0</v>
      </c>
      <c r="N21" s="63">
        <v>0</v>
      </c>
      <c r="O21" s="64">
        <f t="shared" si="1"/>
        <v>1750.88289293</v>
      </c>
      <c r="P21" s="15"/>
      <c r="Q21" s="13"/>
    </row>
    <row r="22" spans="2:17" s="14" customFormat="1" ht="15.75" customHeight="1" x14ac:dyDescent="0.25">
      <c r="B22" s="58" t="s">
        <v>52</v>
      </c>
      <c r="C22" s="63">
        <v>382.56960196</v>
      </c>
      <c r="D22" s="63">
        <v>1072.2609741599999</v>
      </c>
      <c r="E22" s="63">
        <v>738.77283909000005</v>
      </c>
      <c r="F22" s="63">
        <v>1389.76899738</v>
      </c>
      <c r="G22" s="63">
        <v>469.90074005000002</v>
      </c>
      <c r="H22" s="63">
        <v>834.8594350599999</v>
      </c>
      <c r="I22" s="63">
        <v>655.64851643999998</v>
      </c>
      <c r="J22" s="63">
        <v>0</v>
      </c>
      <c r="K22" s="63">
        <v>0</v>
      </c>
      <c r="L22" s="63">
        <v>0</v>
      </c>
      <c r="M22" s="63">
        <v>0</v>
      </c>
      <c r="N22" s="63">
        <v>0</v>
      </c>
      <c r="O22" s="64">
        <f t="shared" si="1"/>
        <v>5543.78110414</v>
      </c>
      <c r="P22" s="15"/>
      <c r="Q22" s="13"/>
    </row>
    <row r="23" spans="2:17" s="14" customFormat="1" ht="15.75" customHeight="1" x14ac:dyDescent="0.25">
      <c r="B23" s="58" t="s">
        <v>53</v>
      </c>
      <c r="C23" s="63">
        <v>4094.6443495600001</v>
      </c>
      <c r="D23" s="63">
        <v>2160.9217859999999</v>
      </c>
      <c r="E23" s="63">
        <v>2520.7867030000002</v>
      </c>
      <c r="F23" s="63">
        <v>2715.7373444899999</v>
      </c>
      <c r="G23" s="63">
        <v>2506.291334</v>
      </c>
      <c r="H23" s="63">
        <v>2867.99685279</v>
      </c>
      <c r="I23" s="63">
        <v>3649.9418123200003</v>
      </c>
      <c r="J23" s="63">
        <v>2855.4593585399998</v>
      </c>
      <c r="K23" s="63">
        <v>0</v>
      </c>
      <c r="L23" s="63">
        <v>0</v>
      </c>
      <c r="M23" s="63">
        <v>0</v>
      </c>
      <c r="N23" s="63">
        <v>0</v>
      </c>
      <c r="O23" s="64">
        <f t="shared" si="1"/>
        <v>23371.779540700001</v>
      </c>
      <c r="P23" s="15"/>
      <c r="Q23" s="13"/>
    </row>
    <row r="24" spans="2:17" s="14" customFormat="1" ht="15.75" customHeight="1" x14ac:dyDescent="0.25">
      <c r="B24" s="58" t="s">
        <v>54</v>
      </c>
      <c r="C24" s="63">
        <v>5.1807659999999998E-2</v>
      </c>
      <c r="D24" s="63">
        <v>6.8357299999999999E-3</v>
      </c>
      <c r="E24" s="63">
        <v>2.6299960000000001E-2</v>
      </c>
      <c r="F24" s="63">
        <v>3.2990829999999999E-2</v>
      </c>
      <c r="G24" s="63">
        <v>7.1507200000000002E-3</v>
      </c>
      <c r="H24" s="63">
        <v>1.882166E-2</v>
      </c>
      <c r="I24" s="63">
        <v>0</v>
      </c>
      <c r="J24" s="63">
        <v>0</v>
      </c>
      <c r="K24" s="63">
        <v>0</v>
      </c>
      <c r="L24" s="63">
        <v>0</v>
      </c>
      <c r="M24" s="63">
        <v>0</v>
      </c>
      <c r="N24" s="63">
        <v>0</v>
      </c>
      <c r="O24" s="64">
        <f t="shared" si="1"/>
        <v>0.14390655999999999</v>
      </c>
      <c r="P24" s="15"/>
      <c r="Q24" s="13"/>
    </row>
    <row r="25" spans="2:17" s="14" customFormat="1" ht="15.75" customHeight="1" x14ac:dyDescent="0.25">
      <c r="B25" s="58" t="s">
        <v>55</v>
      </c>
      <c r="C25" s="63">
        <v>1795.2898170000001</v>
      </c>
      <c r="D25" s="63">
        <v>245.55977999999999</v>
      </c>
      <c r="E25" s="63">
        <v>262.06610699999999</v>
      </c>
      <c r="F25" s="63">
        <v>300.13332200000002</v>
      </c>
      <c r="G25" s="63">
        <v>289.59379999999999</v>
      </c>
      <c r="H25" s="63">
        <v>244.020183</v>
      </c>
      <c r="I25" s="63">
        <v>311.74913800000002</v>
      </c>
      <c r="J25" s="63">
        <v>310.850099</v>
      </c>
      <c r="K25" s="63">
        <v>0</v>
      </c>
      <c r="L25" s="63">
        <v>0</v>
      </c>
      <c r="M25" s="63">
        <v>0</v>
      </c>
      <c r="N25" s="63">
        <v>0</v>
      </c>
      <c r="O25" s="64">
        <f t="shared" si="1"/>
        <v>3759.2622460000002</v>
      </c>
      <c r="P25" s="15"/>
      <c r="Q25" s="13"/>
    </row>
    <row r="26" spans="2:17" s="14" customFormat="1" ht="15.75" customHeight="1" x14ac:dyDescent="0.25">
      <c r="B26" s="58" t="s">
        <v>56</v>
      </c>
      <c r="C26" s="63">
        <v>13.68884362</v>
      </c>
      <c r="D26" s="63">
        <v>5.3135220000000007</v>
      </c>
      <c r="E26" s="63">
        <v>3.8361809999999998</v>
      </c>
      <c r="F26" s="63">
        <v>1.6568420399999999</v>
      </c>
      <c r="G26" s="63">
        <v>2.1785518499999998</v>
      </c>
      <c r="H26" s="63">
        <v>1.8647465999999999</v>
      </c>
      <c r="I26" s="63">
        <v>1.21618048</v>
      </c>
      <c r="J26" s="63">
        <v>0.85004265000000001</v>
      </c>
      <c r="K26" s="63">
        <v>0</v>
      </c>
      <c r="L26" s="63">
        <v>0</v>
      </c>
      <c r="M26" s="63">
        <v>0</v>
      </c>
      <c r="N26" s="63">
        <v>0</v>
      </c>
      <c r="O26" s="64">
        <f t="shared" si="1"/>
        <v>30.604910239999999</v>
      </c>
      <c r="P26" s="15"/>
      <c r="Q26" s="13"/>
    </row>
    <row r="27" spans="2:17" s="14" customFormat="1" ht="15.75" customHeight="1" x14ac:dyDescent="0.25">
      <c r="B27" s="58" t="s">
        <v>57</v>
      </c>
      <c r="C27" s="63">
        <v>17.625301910000001</v>
      </c>
      <c r="D27" s="63">
        <v>6.1080821099999998</v>
      </c>
      <c r="E27" s="63">
        <v>25.32422978</v>
      </c>
      <c r="F27" s="63">
        <v>26.8555235</v>
      </c>
      <c r="G27" s="63">
        <v>16.419700979999998</v>
      </c>
      <c r="H27" s="63">
        <v>32.459754060000002</v>
      </c>
      <c r="I27" s="63">
        <v>8.9907207700000011</v>
      </c>
      <c r="J27" s="63">
        <v>26.8555235</v>
      </c>
      <c r="K27" s="63">
        <v>0</v>
      </c>
      <c r="L27" s="63">
        <v>0</v>
      </c>
      <c r="M27" s="63">
        <v>0</v>
      </c>
      <c r="N27" s="63">
        <v>0</v>
      </c>
      <c r="O27" s="64">
        <f t="shared" si="1"/>
        <v>160.63883661</v>
      </c>
      <c r="P27" s="15"/>
      <c r="Q27" s="13"/>
    </row>
    <row r="28" spans="2:17" s="14" customFormat="1" ht="15.75" customHeight="1" x14ac:dyDescent="0.25">
      <c r="B28" s="58" t="s">
        <v>86</v>
      </c>
      <c r="C28" s="63">
        <v>848.94009586000004</v>
      </c>
      <c r="D28" s="63">
        <v>837.09983129999989</v>
      </c>
      <c r="E28" s="63">
        <v>778.52975217000005</v>
      </c>
      <c r="F28" s="63">
        <v>846.15458355999999</v>
      </c>
      <c r="G28" s="63">
        <v>934.37132480000014</v>
      </c>
      <c r="H28" s="63">
        <v>834.22394087999999</v>
      </c>
      <c r="I28" s="63">
        <v>950.38485050999998</v>
      </c>
      <c r="J28" s="63">
        <v>1019.40556886</v>
      </c>
      <c r="K28" s="63">
        <v>0</v>
      </c>
      <c r="L28" s="63">
        <v>0</v>
      </c>
      <c r="M28" s="63">
        <v>0</v>
      </c>
      <c r="N28" s="63">
        <v>0</v>
      </c>
      <c r="O28" s="64">
        <f t="shared" si="1"/>
        <v>7049.10994794</v>
      </c>
      <c r="P28" s="15"/>
      <c r="Q28" s="13"/>
    </row>
    <row r="29" spans="2:17" s="11" customFormat="1" ht="15.75" customHeight="1" x14ac:dyDescent="0.25">
      <c r="B29" s="58" t="s">
        <v>59</v>
      </c>
      <c r="C29" s="63">
        <v>202.99764544999999</v>
      </c>
      <c r="D29" s="63">
        <v>193.51739086999999</v>
      </c>
      <c r="E29" s="63">
        <v>139.64569792</v>
      </c>
      <c r="F29" s="63">
        <v>240.22987409999999</v>
      </c>
      <c r="G29" s="63">
        <v>135.99400491</v>
      </c>
      <c r="H29" s="63">
        <v>239.91041766000001</v>
      </c>
      <c r="I29" s="63">
        <v>188.01710025999998</v>
      </c>
      <c r="J29" s="63">
        <v>263.55274864</v>
      </c>
      <c r="K29" s="63">
        <v>204.69135986000001</v>
      </c>
      <c r="L29" s="63">
        <v>0</v>
      </c>
      <c r="M29" s="63">
        <v>0</v>
      </c>
      <c r="N29" s="63">
        <v>0</v>
      </c>
      <c r="O29" s="64">
        <f t="shared" si="1"/>
        <v>1808.5562396700002</v>
      </c>
      <c r="P29" s="12"/>
      <c r="Q29" s="10"/>
    </row>
    <row r="30" spans="2:17" s="14" customFormat="1" ht="15.75" customHeight="1" x14ac:dyDescent="0.25">
      <c r="B30" s="58" t="s">
        <v>60</v>
      </c>
      <c r="C30" s="63">
        <v>4864.8099920000004</v>
      </c>
      <c r="D30" s="63">
        <v>3948.8277169999997</v>
      </c>
      <c r="E30" s="63">
        <v>4358.1205049999999</v>
      </c>
      <c r="F30" s="63">
        <v>4147.5618220000006</v>
      </c>
      <c r="G30" s="63">
        <v>4143.2432499999995</v>
      </c>
      <c r="H30" s="63">
        <v>4960.8817580000004</v>
      </c>
      <c r="I30" s="63">
        <v>6512.5310010000003</v>
      </c>
      <c r="J30" s="63">
        <v>4823.1327469999997</v>
      </c>
      <c r="K30" s="63">
        <v>0</v>
      </c>
      <c r="L30" s="63">
        <v>0</v>
      </c>
      <c r="M30" s="63">
        <v>0</v>
      </c>
      <c r="N30" s="63">
        <v>0</v>
      </c>
      <c r="O30" s="64">
        <f t="shared" si="1"/>
        <v>37759.108791999999</v>
      </c>
      <c r="P30" s="12"/>
      <c r="Q30" s="13"/>
    </row>
    <row r="31" spans="2:17" s="14" customFormat="1" ht="15.75" customHeight="1" x14ac:dyDescent="0.25">
      <c r="B31" s="58" t="s">
        <v>61</v>
      </c>
      <c r="C31" s="63">
        <v>12658.170540270001</v>
      </c>
      <c r="D31" s="63">
        <v>11296.942842140001</v>
      </c>
      <c r="E31" s="63">
        <v>11404.53498678</v>
      </c>
      <c r="F31" s="63">
        <v>13850.75067786</v>
      </c>
      <c r="G31" s="63">
        <v>11881.299628700001</v>
      </c>
      <c r="H31" s="63">
        <v>11865.6394311</v>
      </c>
      <c r="I31" s="63">
        <v>13476.533684689999</v>
      </c>
      <c r="J31" s="63">
        <v>13879.30458193</v>
      </c>
      <c r="K31" s="63">
        <v>0</v>
      </c>
      <c r="L31" s="63">
        <v>0</v>
      </c>
      <c r="M31" s="63">
        <v>0</v>
      </c>
      <c r="N31" s="63">
        <v>0</v>
      </c>
      <c r="O31" s="64">
        <f t="shared" si="1"/>
        <v>100313.17637347001</v>
      </c>
      <c r="P31" s="12"/>
      <c r="Q31" s="13"/>
    </row>
    <row r="32" spans="2:17" ht="22.5" customHeight="1" x14ac:dyDescent="0.2">
      <c r="B32" s="65" t="s">
        <v>82</v>
      </c>
      <c r="C32" s="66">
        <f t="shared" ref="C32:O32" si="2">SUM(C8:C31)</f>
        <v>134610.50684904435</v>
      </c>
      <c r="D32" s="66">
        <f t="shared" si="2"/>
        <v>100634.18560311111</v>
      </c>
      <c r="E32" s="66">
        <f t="shared" si="2"/>
        <v>91169.792089446288</v>
      </c>
      <c r="F32" s="66">
        <f t="shared" si="2"/>
        <v>95826.879338042927</v>
      </c>
      <c r="G32" s="66">
        <f t="shared" si="2"/>
        <v>94615.993052541278</v>
      </c>
      <c r="H32" s="66">
        <f t="shared" si="2"/>
        <v>99227.718251196537</v>
      </c>
      <c r="I32" s="66">
        <f t="shared" si="2"/>
        <v>104232.04549043821</v>
      </c>
      <c r="J32" s="66">
        <f t="shared" si="2"/>
        <v>45827.776784449998</v>
      </c>
      <c r="K32" s="66">
        <f t="shared" si="2"/>
        <v>393.54028913000002</v>
      </c>
      <c r="L32" s="66">
        <f t="shared" si="2"/>
        <v>0</v>
      </c>
      <c r="M32" s="66">
        <f t="shared" si="2"/>
        <v>0</v>
      </c>
      <c r="N32" s="66">
        <f t="shared" si="2"/>
        <v>0</v>
      </c>
      <c r="O32" s="66">
        <f t="shared" si="2"/>
        <v>766538.43774740072</v>
      </c>
      <c r="P32" s="12"/>
    </row>
    <row r="33" spans="2:15" s="28" customFormat="1" ht="21.75" customHeight="1" x14ac:dyDescent="0.2">
      <c r="B33" s="83" t="s">
        <v>28</v>
      </c>
      <c r="C33" s="86"/>
      <c r="D33" s="86"/>
      <c r="E33" s="86"/>
    </row>
    <row r="34" spans="2:15" s="28" customFormat="1" ht="16.5" customHeight="1" x14ac:dyDescent="0.2">
      <c r="B34" s="84" t="s">
        <v>84</v>
      </c>
      <c r="C34" s="87"/>
    </row>
    <row r="35" spans="2:15" s="61" customFormat="1" ht="6.95" customHeight="1" thickBot="1" x14ac:dyDescent="0.3">
      <c r="B35" s="32"/>
      <c r="C35" s="51"/>
      <c r="D35" s="32"/>
      <c r="E35" s="32"/>
      <c r="F35" s="32"/>
      <c r="G35" s="32"/>
      <c r="H35" s="32"/>
      <c r="I35" s="32"/>
      <c r="J35" s="32"/>
      <c r="K35" s="32"/>
      <c r="L35" s="32"/>
      <c r="M35" s="32"/>
      <c r="N35" s="32"/>
      <c r="O35" s="32"/>
    </row>
    <row r="36" spans="2:15" ht="14.25" customHeight="1" x14ac:dyDescent="0.2">
      <c r="B36" s="33" t="s">
        <v>29</v>
      </c>
      <c r="C36" s="16"/>
      <c r="E36" s="16"/>
      <c r="F36" s="16"/>
    </row>
    <row r="37" spans="2:15" x14ac:dyDescent="0.2">
      <c r="C37" s="17"/>
      <c r="D37" s="17"/>
      <c r="E37" s="17"/>
    </row>
    <row r="38" spans="2:15" x14ac:dyDescent="0.2">
      <c r="C38" s="17"/>
      <c r="D38" s="17"/>
      <c r="E38" s="17"/>
    </row>
    <row r="39" spans="2:15" ht="20.25" x14ac:dyDescent="0.3">
      <c r="C39" s="17"/>
      <c r="D39" s="17"/>
      <c r="E39" s="17"/>
      <c r="F39" s="18"/>
    </row>
    <row r="40" spans="2:15" x14ac:dyDescent="0.2">
      <c r="C40" s="17"/>
      <c r="D40" s="17"/>
      <c r="E40" s="17"/>
    </row>
    <row r="41" spans="2:15" ht="14.25" x14ac:dyDescent="0.2">
      <c r="C41" s="19"/>
      <c r="D41" s="19"/>
      <c r="E41" s="19"/>
    </row>
    <row r="42" spans="2:15" x14ac:dyDescent="0.2">
      <c r="C42" s="20"/>
      <c r="D42" s="20"/>
      <c r="E42" s="20"/>
    </row>
    <row r="43" spans="2:15" x14ac:dyDescent="0.2">
      <c r="C43" s="21"/>
      <c r="D43" s="17"/>
      <c r="E43" s="17"/>
    </row>
    <row r="44" spans="2:15" x14ac:dyDescent="0.2">
      <c r="C44" s="17"/>
      <c r="D44" s="17"/>
      <c r="E44" s="17"/>
    </row>
    <row r="45" spans="2:15" x14ac:dyDescent="0.2">
      <c r="C45" s="17"/>
      <c r="D45" s="17"/>
      <c r="E45" s="17"/>
    </row>
    <row r="46" spans="2:15" x14ac:dyDescent="0.2">
      <c r="C46" s="17"/>
      <c r="D46" s="17"/>
      <c r="E46" s="17"/>
    </row>
    <row r="47" spans="2:15" x14ac:dyDescent="0.2">
      <c r="C47" s="22"/>
      <c r="D47" s="22"/>
      <c r="E47" s="22"/>
    </row>
    <row r="48" spans="2:15" x14ac:dyDescent="0.2">
      <c r="C48" s="21"/>
      <c r="D48" s="21"/>
      <c r="E48" s="21"/>
    </row>
  </sheetData>
  <mergeCells count="3">
    <mergeCell ref="B2:O2"/>
    <mergeCell ref="B3:O3"/>
    <mergeCell ref="B4:O4"/>
  </mergeCells>
  <printOptions horizontalCentered="1" verticalCentered="1"/>
  <pageMargins left="0" right="0" top="0" bottom="0" header="0" footer="0"/>
  <pageSetup paperSize="9" scale="68"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pageSetUpPr fitToPage="1"/>
  </sheetPr>
  <dimension ref="B1:U63"/>
  <sheetViews>
    <sheetView showGridLines="0" zoomScale="85" zoomScaleNormal="85" workbookViewId="0">
      <pane xSplit="2" ySplit="7" topLeftCell="C8" activePane="bottomRight" state="frozen"/>
      <selection activeCell="B2" sqref="B2:C4"/>
      <selection pane="topRight" activeCell="B2" sqref="B2:C4"/>
      <selection pane="bottomLeft" activeCell="B2" sqref="B2:C4"/>
      <selection pane="bottomRight" activeCell="K14" sqref="K14"/>
    </sheetView>
  </sheetViews>
  <sheetFormatPr baseColWidth="10" defaultRowHeight="12.75" x14ac:dyDescent="0.2"/>
  <cols>
    <col min="1" max="1" width="1.28515625" customWidth="1"/>
    <col min="2" max="2" width="26.85546875" customWidth="1"/>
    <col min="3" max="15" width="15" customWidth="1"/>
  </cols>
  <sheetData>
    <row r="1" spans="2:21" ht="21" customHeight="1" x14ac:dyDescent="0.25">
      <c r="B1" s="1"/>
      <c r="C1" s="2"/>
      <c r="D1" s="3"/>
      <c r="E1" s="3"/>
      <c r="F1" s="3"/>
      <c r="G1" s="3"/>
      <c r="H1" s="3"/>
      <c r="I1" s="3"/>
      <c r="K1" s="4"/>
      <c r="N1" s="95" t="str">
        <f>+IIBB!N1</f>
        <v>Última actualización</v>
      </c>
      <c r="O1" s="96">
        <f>+IIBB!O1</f>
        <v>46297</v>
      </c>
    </row>
    <row r="2" spans="2:21" ht="21" customHeight="1" x14ac:dyDescent="0.3">
      <c r="B2" s="105" t="s">
        <v>5</v>
      </c>
      <c r="C2" s="105"/>
      <c r="D2" s="105"/>
      <c r="E2" s="105"/>
      <c r="F2" s="105"/>
      <c r="G2" s="105"/>
      <c r="H2" s="105"/>
      <c r="I2" s="105"/>
      <c r="J2" s="105"/>
      <c r="K2" s="105"/>
      <c r="L2" s="105"/>
      <c r="M2" s="105"/>
      <c r="N2" s="105"/>
      <c r="O2" s="105"/>
    </row>
    <row r="3" spans="2:21" ht="21" customHeight="1" x14ac:dyDescent="0.3">
      <c r="B3" s="106">
        <f>+IIBB!B3</f>
        <v>2026</v>
      </c>
      <c r="C3" s="107"/>
      <c r="D3" s="107"/>
      <c r="E3" s="107"/>
      <c r="F3" s="107"/>
      <c r="G3" s="107"/>
      <c r="H3" s="107"/>
      <c r="I3" s="107"/>
      <c r="J3" s="107"/>
      <c r="K3" s="107"/>
      <c r="L3" s="107"/>
      <c r="M3" s="107"/>
      <c r="N3" s="107"/>
      <c r="O3" s="107"/>
    </row>
    <row r="4" spans="2:21" ht="21" customHeight="1" x14ac:dyDescent="0.25">
      <c r="B4" s="108" t="s">
        <v>6</v>
      </c>
      <c r="C4" s="108"/>
      <c r="D4" s="108"/>
      <c r="E4" s="108"/>
      <c r="F4" s="108"/>
      <c r="G4" s="108"/>
      <c r="H4" s="108"/>
      <c r="I4" s="108"/>
      <c r="J4" s="108"/>
      <c r="K4" s="108"/>
      <c r="L4" s="108"/>
      <c r="M4" s="108"/>
      <c r="N4" s="108"/>
      <c r="O4" s="108"/>
    </row>
    <row r="5" spans="2:21" ht="21" customHeight="1" x14ac:dyDescent="0.4">
      <c r="C5" s="5"/>
      <c r="D5" s="6"/>
      <c r="E5" s="6"/>
      <c r="F5" s="6"/>
      <c r="G5" s="6"/>
      <c r="H5" s="7"/>
      <c r="I5" s="6"/>
    </row>
    <row r="6" spans="2:21" ht="30" customHeight="1" x14ac:dyDescent="0.2">
      <c r="B6" s="62" t="s">
        <v>30</v>
      </c>
      <c r="C6" s="62" t="s">
        <v>71</v>
      </c>
      <c r="D6" s="62" t="s">
        <v>70</v>
      </c>
      <c r="E6" s="62" t="s">
        <v>72</v>
      </c>
      <c r="F6" s="62" t="s">
        <v>73</v>
      </c>
      <c r="G6" s="62" t="s">
        <v>74</v>
      </c>
      <c r="H6" s="62" t="s">
        <v>75</v>
      </c>
      <c r="I6" s="62" t="s">
        <v>76</v>
      </c>
      <c r="J6" s="62" t="s">
        <v>77</v>
      </c>
      <c r="K6" s="62" t="s">
        <v>78</v>
      </c>
      <c r="L6" s="62" t="s">
        <v>79</v>
      </c>
      <c r="M6" s="62" t="s">
        <v>80</v>
      </c>
      <c r="N6" s="62" t="s">
        <v>81</v>
      </c>
      <c r="O6" s="62" t="s">
        <v>82</v>
      </c>
    </row>
    <row r="7" spans="2:21" s="8" customFormat="1" ht="15" hidden="1" customHeight="1" x14ac:dyDescent="0.7">
      <c r="B7" s="23"/>
      <c r="C7" s="23"/>
      <c r="D7" s="24"/>
      <c r="E7" s="24"/>
      <c r="F7" s="25"/>
      <c r="G7" s="26"/>
      <c r="H7" s="27"/>
      <c r="I7" s="27"/>
      <c r="J7" s="27"/>
      <c r="K7" s="27"/>
      <c r="Q7"/>
      <c r="R7"/>
      <c r="S7"/>
      <c r="T7"/>
      <c r="U7"/>
    </row>
    <row r="8" spans="2:21" s="11" customFormat="1" ht="15.75" customHeight="1" x14ac:dyDescent="0.25">
      <c r="B8" s="58" t="s">
        <v>87</v>
      </c>
      <c r="C8" s="63">
        <f>+SUM(IIBB:OTROS!C8)</f>
        <v>1124942.8999999999</v>
      </c>
      <c r="D8" s="63">
        <f>+SUM(IIBB:OTROS!D8)</f>
        <v>973721.7</v>
      </c>
      <c r="E8" s="63">
        <f>+SUM(IIBB:OTROS!E8)</f>
        <v>834884.70000000007</v>
      </c>
      <c r="F8" s="63">
        <f>+SUM(IIBB:OTROS!F8)</f>
        <v>953683.39999999991</v>
      </c>
      <c r="G8" s="63">
        <f>+SUM(IIBB:OTROS!G8)</f>
        <v>944690.10000000009</v>
      </c>
      <c r="H8" s="63">
        <f>+SUM(IIBB:OTROS!H8)</f>
        <v>973905.3</v>
      </c>
      <c r="I8" s="63">
        <f>+SUM(IIBB:OTROS!I8)</f>
        <v>980445.6</v>
      </c>
      <c r="J8" s="63">
        <f>+SUM(IIBB:OTROS!J8)</f>
        <v>1050165.8999999999</v>
      </c>
      <c r="K8" s="63">
        <f>+SUM(IIBB:OTROS!K8)</f>
        <v>0</v>
      </c>
      <c r="L8" s="63">
        <f>+SUM(IIBB:OTROS!L8)</f>
        <v>0</v>
      </c>
      <c r="M8" s="63">
        <f>+SUM(IIBB:OTROS!M8)</f>
        <v>0</v>
      </c>
      <c r="N8" s="63">
        <f>+SUM(IIBB:OTROS!N8)</f>
        <v>0</v>
      </c>
      <c r="O8" s="64">
        <f>SUM(C8:N8)</f>
        <v>7836439.5999999996</v>
      </c>
      <c r="P8" s="9"/>
      <c r="Q8"/>
      <c r="R8"/>
      <c r="S8"/>
      <c r="T8"/>
      <c r="U8"/>
    </row>
    <row r="9" spans="2:21" s="14" customFormat="1" ht="15.75" customHeight="1" x14ac:dyDescent="0.25">
      <c r="B9" s="58" t="s">
        <v>39</v>
      </c>
      <c r="C9" s="63">
        <f>+SUM(IIBB:OTROS!C9)</f>
        <v>1314352.3328200898</v>
      </c>
      <c r="D9" s="63">
        <f>+SUM(IIBB:OTROS!D9)</f>
        <v>1319640.3887360124</v>
      </c>
      <c r="E9" s="63">
        <f>+SUM(IIBB:OTROS!E9)</f>
        <v>1366397.3973311745</v>
      </c>
      <c r="F9" s="63">
        <f>+SUM(IIBB:OTROS!F9)</f>
        <v>1425233.8909558344</v>
      </c>
      <c r="G9" s="63">
        <f>+SUM(IIBB:OTROS!G9)</f>
        <v>1341638.7617040335</v>
      </c>
      <c r="H9" s="63">
        <f>+SUM(IIBB:OTROS!H9)</f>
        <v>1562091.8220230155</v>
      </c>
      <c r="I9" s="63">
        <f>+SUM(IIBB:OTROS!I9)</f>
        <v>1488013.7916022306</v>
      </c>
      <c r="J9" s="63">
        <f>+SUM(IIBB:OTROS!J9)</f>
        <v>0</v>
      </c>
      <c r="K9" s="63">
        <f>+SUM(IIBB:OTROS!K9)</f>
        <v>0</v>
      </c>
      <c r="L9" s="63">
        <f>+SUM(IIBB:OTROS!L9)</f>
        <v>0</v>
      </c>
      <c r="M9" s="63">
        <f>+SUM(IIBB:OTROS!M9)</f>
        <v>0</v>
      </c>
      <c r="N9" s="63">
        <f>+SUM(IIBB:OTROS!N9)</f>
        <v>0</v>
      </c>
      <c r="O9" s="64">
        <f t="shared" ref="O9:O31" si="0">SUM(C9:N9)</f>
        <v>9817368.3851723894</v>
      </c>
      <c r="P9" s="12"/>
      <c r="Q9"/>
      <c r="R9"/>
      <c r="S9"/>
      <c r="T9"/>
      <c r="U9"/>
    </row>
    <row r="10" spans="2:21" s="14" customFormat="1" ht="15.75" customHeight="1" x14ac:dyDescent="0.25">
      <c r="B10" s="58" t="s">
        <v>40</v>
      </c>
      <c r="C10" s="63">
        <f>+SUM(IIBB:OTROS!C10)</f>
        <v>23332.945585588004</v>
      </c>
      <c r="D10" s="63">
        <f>+SUM(IIBB:OTROS!D10)</f>
        <v>20973.172421800002</v>
      </c>
      <c r="E10" s="63">
        <f>+SUM(IIBB:OTROS!E10)</f>
        <v>22667.205209750002</v>
      </c>
      <c r="F10" s="63">
        <f>+SUM(IIBB:OTROS!F10)</f>
        <v>24745.498134870002</v>
      </c>
      <c r="G10" s="63">
        <f>+SUM(IIBB:OTROS!G10)</f>
        <v>23439.127803380001</v>
      </c>
      <c r="H10" s="63">
        <f>+SUM(IIBB:OTROS!H10)</f>
        <v>23912.582233989997</v>
      </c>
      <c r="I10" s="63">
        <f>+SUM(IIBB:OTROS!I10)</f>
        <v>26317.41512197</v>
      </c>
      <c r="J10" s="63">
        <f>+SUM(IIBB:OTROS!J10)</f>
        <v>25663.339153700002</v>
      </c>
      <c r="K10" s="63">
        <f>+SUM(IIBB:OTROS!K10)</f>
        <v>22089.123438640003</v>
      </c>
      <c r="L10" s="63">
        <f>+SUM(IIBB:OTROS!L10)</f>
        <v>0</v>
      </c>
      <c r="M10" s="63">
        <f>+SUM(IIBB:OTROS!M10)</f>
        <v>0</v>
      </c>
      <c r="N10" s="63">
        <f>+SUM(IIBB:OTROS!N10)</f>
        <v>0</v>
      </c>
      <c r="O10" s="64">
        <f t="shared" si="0"/>
        <v>213140.40910368803</v>
      </c>
      <c r="P10" s="12"/>
      <c r="Q10"/>
      <c r="R10"/>
      <c r="S10"/>
      <c r="T10"/>
      <c r="U10"/>
    </row>
    <row r="11" spans="2:21" s="14" customFormat="1" ht="15.75" customHeight="1" x14ac:dyDescent="0.25">
      <c r="B11" s="58" t="s">
        <v>41</v>
      </c>
      <c r="C11" s="63">
        <f>+SUM(IIBB:OTROS!C11)</f>
        <v>373544.681767</v>
      </c>
      <c r="D11" s="63">
        <f>+SUM(IIBB:OTROS!D11)</f>
        <v>376446.76681499998</v>
      </c>
      <c r="E11" s="63">
        <f>+SUM(IIBB:OTROS!E11)</f>
        <v>369078.72362</v>
      </c>
      <c r="F11" s="63">
        <f>+SUM(IIBB:OTROS!F11)</f>
        <v>373312.46326300001</v>
      </c>
      <c r="G11" s="63">
        <f>+SUM(IIBB:OTROS!G11)</f>
        <v>408881.21687100001</v>
      </c>
      <c r="H11" s="63">
        <f>+SUM(IIBB:OTROS!H11)</f>
        <v>361577.45330499997</v>
      </c>
      <c r="I11" s="63">
        <f>+SUM(IIBB:OTROS!I11)</f>
        <v>353435.52340100001</v>
      </c>
      <c r="J11" s="63">
        <f>+SUM(IIBB:OTROS!J11)</f>
        <v>356934.64247399999</v>
      </c>
      <c r="K11" s="63">
        <f>+SUM(IIBB:OTROS!K11)</f>
        <v>0</v>
      </c>
      <c r="L11" s="63">
        <f>+SUM(IIBB:OTROS!L11)</f>
        <v>0</v>
      </c>
      <c r="M11" s="63">
        <f>+SUM(IIBB:OTROS!M11)</f>
        <v>0</v>
      </c>
      <c r="N11" s="63">
        <f>+SUM(IIBB:OTROS!N11)</f>
        <v>0</v>
      </c>
      <c r="O11" s="64">
        <f t="shared" si="0"/>
        <v>2973211.4715159996</v>
      </c>
      <c r="P11" s="12"/>
      <c r="Q11"/>
      <c r="R11"/>
      <c r="S11"/>
      <c r="T11"/>
      <c r="U11"/>
    </row>
    <row r="12" spans="2:21" s="14" customFormat="1" ht="15.75" customHeight="1" x14ac:dyDescent="0.25">
      <c r="B12" s="58" t="s">
        <v>42</v>
      </c>
      <c r="C12" s="63">
        <f>+SUM(IIBB:OTROS!C12)</f>
        <v>36675.857591569998</v>
      </c>
      <c r="D12" s="63">
        <f>+SUM(IIBB:OTROS!D12)</f>
        <v>34887.5518973</v>
      </c>
      <c r="E12" s="63">
        <f>+SUM(IIBB:OTROS!E12)</f>
        <v>34282.886697260008</v>
      </c>
      <c r="F12" s="63">
        <f>+SUM(IIBB:OTROS!F12)</f>
        <v>42881.274797450002</v>
      </c>
      <c r="G12" s="63">
        <f>+SUM(IIBB:OTROS!G12)</f>
        <v>37981.387271170002</v>
      </c>
      <c r="H12" s="63">
        <f>+SUM(IIBB:OTROS!H12)</f>
        <v>40071.703041349996</v>
      </c>
      <c r="I12" s="63">
        <f>+SUM(IIBB:OTROS!I12)</f>
        <v>39408.301300610001</v>
      </c>
      <c r="J12" s="63">
        <f>+SUM(IIBB:OTROS!J12)</f>
        <v>0</v>
      </c>
      <c r="K12" s="63">
        <f>+SUM(IIBB:OTROS!K12)</f>
        <v>0</v>
      </c>
      <c r="L12" s="63">
        <f>+SUM(IIBB:OTROS!L12)</f>
        <v>0</v>
      </c>
      <c r="M12" s="63">
        <f>+SUM(IIBB:OTROS!M12)</f>
        <v>0</v>
      </c>
      <c r="N12" s="63">
        <f>+SUM(IIBB:OTROS!N12)</f>
        <v>0</v>
      </c>
      <c r="O12" s="64">
        <f t="shared" si="0"/>
        <v>266188.96259671001</v>
      </c>
      <c r="P12" s="12"/>
      <c r="Q12"/>
      <c r="R12"/>
      <c r="S12"/>
      <c r="T12"/>
      <c r="U12"/>
    </row>
    <row r="13" spans="2:21" s="14" customFormat="1" ht="15.75" customHeight="1" x14ac:dyDescent="0.25">
      <c r="B13" s="58" t="s">
        <v>43</v>
      </c>
      <c r="C13" s="63">
        <f>+SUM(IIBB:OTROS!C13)</f>
        <v>48202.273859860004</v>
      </c>
      <c r="D13" s="63">
        <f>+SUM(IIBB:OTROS!D13)</f>
        <v>43429.837189999998</v>
      </c>
      <c r="E13" s="63">
        <f>+SUM(IIBB:OTROS!E13)</f>
        <v>40506.351427000001</v>
      </c>
      <c r="F13" s="63">
        <f>+SUM(IIBB:OTROS!F13)</f>
        <v>42923.949559879999</v>
      </c>
      <c r="G13" s="63">
        <f>+SUM(IIBB:OTROS!G13)</f>
        <v>43709.058261469996</v>
      </c>
      <c r="H13" s="63">
        <f>+SUM(IIBB:OTROS!H13)</f>
        <v>45712.899384970005</v>
      </c>
      <c r="I13" s="63">
        <f>+SUM(IIBB:OTROS!I13)</f>
        <v>51542.679269990003</v>
      </c>
      <c r="J13" s="63">
        <f>+SUM(IIBB:OTROS!J13)</f>
        <v>50895.817802149999</v>
      </c>
      <c r="K13" s="63">
        <f>+SUM(IIBB:OTROS!K13)</f>
        <v>0</v>
      </c>
      <c r="L13" s="63">
        <f>+SUM(IIBB:OTROS!L13)</f>
        <v>0</v>
      </c>
      <c r="M13" s="63">
        <f>+SUM(IIBB:OTROS!M13)</f>
        <v>0</v>
      </c>
      <c r="N13" s="63">
        <f>+SUM(IIBB:OTROS!N13)</f>
        <v>0</v>
      </c>
      <c r="O13" s="64">
        <f t="shared" si="0"/>
        <v>366922.86675531999</v>
      </c>
      <c r="P13" s="12"/>
      <c r="Q13"/>
      <c r="R13"/>
      <c r="S13"/>
      <c r="T13"/>
      <c r="U13"/>
    </row>
    <row r="14" spans="2:21" s="14" customFormat="1" ht="15.75" customHeight="1" x14ac:dyDescent="0.25">
      <c r="B14" s="59" t="s">
        <v>44</v>
      </c>
      <c r="C14" s="63">
        <f>+SUM(IIBB:OTROS!C14)</f>
        <v>67605.819445359986</v>
      </c>
      <c r="D14" s="63">
        <f>+SUM(IIBB:OTROS!D14)</f>
        <v>55314.077337850002</v>
      </c>
      <c r="E14" s="63">
        <f>+SUM(IIBB:OTROS!E14)</f>
        <v>59759.98645982</v>
      </c>
      <c r="F14" s="63">
        <f>+SUM(IIBB:OTROS!F14)</f>
        <v>58029.718613490004</v>
      </c>
      <c r="G14" s="63">
        <f>+SUM(IIBB:OTROS!G14)</f>
        <v>57332.631544950003</v>
      </c>
      <c r="H14" s="63">
        <f>+SUM(IIBB:OTROS!H14)</f>
        <v>57540.976178929996</v>
      </c>
      <c r="I14" s="63">
        <f>+SUM(IIBB:OTROS!I14)</f>
        <v>67345.628451840006</v>
      </c>
      <c r="J14" s="63">
        <f>+SUM(IIBB:OTROS!J14)</f>
        <v>62448.507599910001</v>
      </c>
      <c r="K14" s="63">
        <f>+SUM(IIBB:OTROS!K14)</f>
        <v>62798</v>
      </c>
      <c r="L14" s="63">
        <f>+SUM(IIBB:OTROS!L14)</f>
        <v>0</v>
      </c>
      <c r="M14" s="63">
        <f>+SUM(IIBB:OTROS!M14)</f>
        <v>0</v>
      </c>
      <c r="N14" s="63">
        <f>+SUM(IIBB:OTROS!N14)</f>
        <v>0</v>
      </c>
      <c r="O14" s="64">
        <f t="shared" si="0"/>
        <v>548175.34563215007</v>
      </c>
      <c r="P14" s="12"/>
      <c r="Q14"/>
      <c r="R14"/>
      <c r="S14"/>
      <c r="T14"/>
      <c r="U14"/>
    </row>
    <row r="15" spans="2:21" s="14" customFormat="1" ht="15.75" customHeight="1" x14ac:dyDescent="0.25">
      <c r="B15" s="58" t="s">
        <v>45</v>
      </c>
      <c r="C15" s="63">
        <f>+SUM(IIBB:OTROS!C15)</f>
        <v>87247.694632000013</v>
      </c>
      <c r="D15" s="63">
        <f>+SUM(IIBB:OTROS!D15)</f>
        <v>97856.766228000008</v>
      </c>
      <c r="E15" s="63">
        <f>+SUM(IIBB:OTROS!E15)</f>
        <v>85191.38397699999</v>
      </c>
      <c r="F15" s="63">
        <f>+SUM(IIBB:OTROS!F15)</f>
        <v>120566.054311</v>
      </c>
      <c r="G15" s="63">
        <f>+SUM(IIBB:OTROS!G15)</f>
        <v>125713.911097</v>
      </c>
      <c r="H15" s="63">
        <f>+SUM(IIBB:OTROS!H15)</f>
        <v>100416.75239899999</v>
      </c>
      <c r="I15" s="63">
        <f>+SUM(IIBB:OTROS!I15)</f>
        <v>118601.23795200001</v>
      </c>
      <c r="J15" s="63">
        <f>+SUM(IIBB:OTROS!J15)</f>
        <v>104652.424189</v>
      </c>
      <c r="K15" s="63">
        <f>+SUM(IIBB:OTROS!K15)</f>
        <v>0</v>
      </c>
      <c r="L15" s="63">
        <f>+SUM(IIBB:OTROS!L15)</f>
        <v>0</v>
      </c>
      <c r="M15" s="63">
        <f>+SUM(IIBB:OTROS!M15)</f>
        <v>0</v>
      </c>
      <c r="N15" s="63">
        <f>+SUM(IIBB:OTROS!N15)</f>
        <v>0</v>
      </c>
      <c r="O15" s="64">
        <f t="shared" si="0"/>
        <v>840246.22478499997</v>
      </c>
      <c r="P15" s="12"/>
      <c r="Q15"/>
      <c r="R15"/>
      <c r="S15"/>
      <c r="T15"/>
      <c r="U15"/>
    </row>
    <row r="16" spans="2:21" s="14" customFormat="1" ht="15.75" customHeight="1" x14ac:dyDescent="0.25">
      <c r="B16" s="58" t="s">
        <v>46</v>
      </c>
      <c r="C16" s="63">
        <f>+SUM(IIBB:OTROS!C16)</f>
        <v>15337.23664472</v>
      </c>
      <c r="D16" s="63">
        <f>+SUM(IIBB:OTROS!D16)</f>
        <v>14915.340473499999</v>
      </c>
      <c r="E16" s="63">
        <f>+SUM(IIBB:OTROS!E16)</f>
        <v>14625.078966589999</v>
      </c>
      <c r="F16" s="63">
        <f>+SUM(IIBB:OTROS!F16)</f>
        <v>16070.018566530001</v>
      </c>
      <c r="G16" s="63">
        <f>+SUM(IIBB:OTROS!G16)</f>
        <v>18376.465102379996</v>
      </c>
      <c r="H16" s="63">
        <f>+SUM(IIBB:OTROS!H16)</f>
        <v>18166.197109920002</v>
      </c>
      <c r="I16" s="63">
        <f>+SUM(IIBB:OTROS!I16)</f>
        <v>18400.987695689997</v>
      </c>
      <c r="J16" s="63">
        <f>+SUM(IIBB:OTROS!J16)</f>
        <v>19895.388922770002</v>
      </c>
      <c r="K16" s="63">
        <f>+SUM(IIBB:OTROS!K16)</f>
        <v>19670.31884466</v>
      </c>
      <c r="L16" s="63">
        <f>+SUM(IIBB:OTROS!L16)</f>
        <v>0</v>
      </c>
      <c r="M16" s="63">
        <f>+SUM(IIBB:OTROS!M16)</f>
        <v>0</v>
      </c>
      <c r="N16" s="63">
        <f>+SUM(IIBB:OTROS!N16)</f>
        <v>0</v>
      </c>
      <c r="O16" s="64">
        <f t="shared" si="0"/>
        <v>155457.03232676</v>
      </c>
      <c r="P16" s="12"/>
      <c r="Q16"/>
      <c r="R16"/>
      <c r="S16"/>
      <c r="T16"/>
      <c r="U16"/>
    </row>
    <row r="17" spans="2:21" s="11" customFormat="1" ht="15.75" customHeight="1" x14ac:dyDescent="0.25">
      <c r="B17" s="58" t="s">
        <v>47</v>
      </c>
      <c r="C17" s="63">
        <f>+SUM(IIBB:OTROS!C17)</f>
        <v>30033.856496</v>
      </c>
      <c r="D17" s="63">
        <f>+SUM(IIBB:OTROS!D17)</f>
        <v>29678.524675000001</v>
      </c>
      <c r="E17" s="63">
        <f>+SUM(IIBB:OTROS!E17)</f>
        <v>29268.829422999999</v>
      </c>
      <c r="F17" s="63">
        <f>+SUM(IIBB:OTROS!F17)</f>
        <v>28737.883562999999</v>
      </c>
      <c r="G17" s="63">
        <f>+SUM(IIBB:OTROS!G17)</f>
        <v>29820.210141</v>
      </c>
      <c r="H17" s="63">
        <f>+SUM(IIBB:OTROS!H17)</f>
        <v>30205.106081000002</v>
      </c>
      <c r="I17" s="63">
        <f>+SUM(IIBB:OTROS!I17)</f>
        <v>31473.008508999999</v>
      </c>
      <c r="J17" s="63">
        <f>+SUM(IIBB:OTROS!J17)</f>
        <v>32265.106931999999</v>
      </c>
      <c r="K17" s="63">
        <f>+SUM(IIBB:OTROS!K17)</f>
        <v>0</v>
      </c>
      <c r="L17" s="63">
        <f>+SUM(IIBB:OTROS!L17)</f>
        <v>0</v>
      </c>
      <c r="M17" s="63">
        <f>+SUM(IIBB:OTROS!M17)</f>
        <v>0</v>
      </c>
      <c r="N17" s="63">
        <f>+SUM(IIBB:OTROS!N17)</f>
        <v>0</v>
      </c>
      <c r="O17" s="64">
        <f t="shared" si="0"/>
        <v>241482.52582000001</v>
      </c>
      <c r="P17" s="12"/>
      <c r="Q17"/>
      <c r="R17"/>
      <c r="S17"/>
      <c r="T17"/>
      <c r="U17"/>
    </row>
    <row r="18" spans="2:21" s="14" customFormat="1" ht="15.75" customHeight="1" x14ac:dyDescent="0.25">
      <c r="B18" s="58" t="s">
        <v>48</v>
      </c>
      <c r="C18" s="63">
        <f>+SUM(IIBB:OTROS!C18)</f>
        <v>42621.859568949993</v>
      </c>
      <c r="D18" s="63">
        <f>+SUM(IIBB:OTROS!D18)</f>
        <v>31483.762653259997</v>
      </c>
      <c r="E18" s="63">
        <f>+SUM(IIBB:OTROS!E18)</f>
        <v>43979.38298717</v>
      </c>
      <c r="F18" s="63">
        <f>+SUM(IIBB:OTROS!F18)</f>
        <v>45879.784551179997</v>
      </c>
      <c r="G18" s="63">
        <f>+SUM(IIBB:OTROS!G18)</f>
        <v>43696.355383309994</v>
      </c>
      <c r="H18" s="63">
        <f>+SUM(IIBB:OTROS!H18)</f>
        <v>54782.981553760001</v>
      </c>
      <c r="I18" s="63">
        <f>+SUM(IIBB:OTROS!I18)</f>
        <v>51983.235081799998</v>
      </c>
      <c r="J18" s="63">
        <f>+SUM(IIBB:OTROS!J18)</f>
        <v>0</v>
      </c>
      <c r="K18" s="63">
        <f>+SUM(IIBB:OTROS!K18)</f>
        <v>0</v>
      </c>
      <c r="L18" s="63">
        <f>+SUM(IIBB:OTROS!L18)</f>
        <v>0</v>
      </c>
      <c r="M18" s="63">
        <f>+SUM(IIBB:OTROS!M18)</f>
        <v>0</v>
      </c>
      <c r="N18" s="63">
        <f>+SUM(IIBB:OTROS!N18)</f>
        <v>0</v>
      </c>
      <c r="O18" s="64">
        <f t="shared" si="0"/>
        <v>314427.36177942995</v>
      </c>
      <c r="P18" s="12"/>
      <c r="Q18"/>
      <c r="R18"/>
      <c r="S18"/>
      <c r="T18"/>
      <c r="U18"/>
    </row>
    <row r="19" spans="2:21" s="14" customFormat="1" ht="15.75" customHeight="1" x14ac:dyDescent="0.25">
      <c r="B19" s="58" t="s">
        <v>49</v>
      </c>
      <c r="C19" s="63">
        <f>+SUM(IIBB:OTROS!C19)</f>
        <v>14321.042804209999</v>
      </c>
      <c r="D19" s="63">
        <f>+SUM(IIBB:OTROS!D19)</f>
        <v>13051.323071520001</v>
      </c>
      <c r="E19" s="63">
        <f>+SUM(IIBB:OTROS!E19)</f>
        <v>13989.347481479999</v>
      </c>
      <c r="F19" s="63">
        <f>+SUM(IIBB:OTROS!F19)</f>
        <v>16147.244206380001</v>
      </c>
      <c r="G19" s="63">
        <f>+SUM(IIBB:OTROS!G19)</f>
        <v>14921.639788260001</v>
      </c>
      <c r="H19" s="63">
        <f>+SUM(IIBB:OTROS!H19)</f>
        <v>15666.10433371</v>
      </c>
      <c r="I19" s="63">
        <f>+SUM(IIBB:OTROS!I19)</f>
        <v>15715.307255630005</v>
      </c>
      <c r="J19" s="63">
        <f>+SUM(IIBB:OTROS!J19)</f>
        <v>14775.599053589998</v>
      </c>
      <c r="K19" s="63">
        <f>+SUM(IIBB:OTROS!K19)</f>
        <v>0</v>
      </c>
      <c r="L19" s="63">
        <f>+SUM(IIBB:OTROS!L19)</f>
        <v>0</v>
      </c>
      <c r="M19" s="63">
        <f>+SUM(IIBB:OTROS!M19)</f>
        <v>0</v>
      </c>
      <c r="N19" s="63">
        <f>+SUM(IIBB:OTROS!N19)</f>
        <v>0</v>
      </c>
      <c r="O19" s="64">
        <f t="shared" si="0"/>
        <v>118587.60799478</v>
      </c>
      <c r="P19" s="12"/>
      <c r="Q19"/>
      <c r="R19"/>
      <c r="S19"/>
      <c r="T19"/>
      <c r="U19"/>
    </row>
    <row r="20" spans="2:21" s="14" customFormat="1" ht="15.75" customHeight="1" x14ac:dyDescent="0.25">
      <c r="B20" s="58" t="s">
        <v>50</v>
      </c>
      <c r="C20" s="63">
        <f>+SUM(IIBB:OTROS!C20)</f>
        <v>135271.85246279999</v>
      </c>
      <c r="D20" s="63">
        <f>+SUM(IIBB:OTROS!D20)</f>
        <v>150573.07942770002</v>
      </c>
      <c r="E20" s="63">
        <f>+SUM(IIBB:OTROS!E20)</f>
        <v>146709.47063679999</v>
      </c>
      <c r="F20" s="63">
        <f>+SUM(IIBB:OTROS!F20)</f>
        <v>135010.532045</v>
      </c>
      <c r="G20" s="63">
        <f>+SUM(IIBB:OTROS!G20)</f>
        <v>142916.03159139998</v>
      </c>
      <c r="H20" s="63">
        <f>+SUM(IIBB:OTROS!H20)</f>
        <v>140099.52827800001</v>
      </c>
      <c r="I20" s="63">
        <f>+SUM(IIBB:OTROS!I20)</f>
        <v>144627.08029270003</v>
      </c>
      <c r="J20" s="63">
        <f>+SUM(IIBB:OTROS!J20)</f>
        <v>146454.98163900001</v>
      </c>
      <c r="K20" s="63">
        <f>+SUM(IIBB:OTROS!K20)</f>
        <v>0</v>
      </c>
      <c r="L20" s="63">
        <f>+SUM(IIBB:OTROS!L20)</f>
        <v>0</v>
      </c>
      <c r="M20" s="63">
        <f>+SUM(IIBB:OTROS!M20)</f>
        <v>0</v>
      </c>
      <c r="N20" s="63">
        <f>+SUM(IIBB:OTROS!N20)</f>
        <v>0</v>
      </c>
      <c r="O20" s="64">
        <f t="shared" si="0"/>
        <v>1141662.5563734001</v>
      </c>
      <c r="P20" s="12"/>
      <c r="Q20"/>
      <c r="R20"/>
      <c r="S20"/>
      <c r="T20"/>
      <c r="U20"/>
    </row>
    <row r="21" spans="2:21" s="14" customFormat="1" ht="15.75" customHeight="1" x14ac:dyDescent="0.25">
      <c r="B21" s="58" t="s">
        <v>51</v>
      </c>
      <c r="C21" s="63">
        <f>+SUM(IIBB:OTROS!C21)</f>
        <v>93288.87076327001</v>
      </c>
      <c r="D21" s="63">
        <f>+SUM(IIBB:OTROS!D21)</f>
        <v>85828.362371930009</v>
      </c>
      <c r="E21" s="63">
        <f>+SUM(IIBB:OTROS!E21)</f>
        <v>82678.213550049986</v>
      </c>
      <c r="F21" s="63">
        <f>+SUM(IIBB:OTROS!F21)</f>
        <v>93453.159247479998</v>
      </c>
      <c r="G21" s="63">
        <f>+SUM(IIBB:OTROS!G21)</f>
        <v>89253.620383230009</v>
      </c>
      <c r="H21" s="63">
        <f>+SUM(IIBB:OTROS!H21)</f>
        <v>88101.029758510005</v>
      </c>
      <c r="I21" s="63">
        <f>+SUM(IIBB:OTROS!I21)</f>
        <v>93730.242097380018</v>
      </c>
      <c r="J21" s="63">
        <f>+SUM(IIBB:OTROS!J21)</f>
        <v>91163.619950849999</v>
      </c>
      <c r="K21" s="63">
        <f>+SUM(IIBB:OTROS!K21)</f>
        <v>0</v>
      </c>
      <c r="L21" s="63">
        <f>+SUM(IIBB:OTROS!L21)</f>
        <v>0</v>
      </c>
      <c r="M21" s="63">
        <f>+SUM(IIBB:OTROS!M21)</f>
        <v>0</v>
      </c>
      <c r="N21" s="63">
        <f>+SUM(IIBB:OTROS!N21)</f>
        <v>0</v>
      </c>
      <c r="O21" s="64">
        <f t="shared" si="0"/>
        <v>717497.11812270002</v>
      </c>
      <c r="P21" s="12"/>
      <c r="Q21"/>
      <c r="R21"/>
      <c r="S21"/>
      <c r="T21"/>
      <c r="U21"/>
    </row>
    <row r="22" spans="2:21" s="14" customFormat="1" ht="15.75" customHeight="1" x14ac:dyDescent="0.25">
      <c r="B22" s="58" t="s">
        <v>52</v>
      </c>
      <c r="C22" s="63">
        <f>+SUM(IIBB:OTROS!C22)</f>
        <v>176997.60594504001</v>
      </c>
      <c r="D22" s="63">
        <f>+SUM(IIBB:OTROS!D22)</f>
        <v>176514.96168635</v>
      </c>
      <c r="E22" s="63">
        <f>+SUM(IIBB:OTROS!E22)</f>
        <v>157384.81714159003</v>
      </c>
      <c r="F22" s="63">
        <f>+SUM(IIBB:OTROS!F22)</f>
        <v>184224.44221170997</v>
      </c>
      <c r="G22" s="63">
        <f>+SUM(IIBB:OTROS!G22)</f>
        <v>204479.09342415002</v>
      </c>
      <c r="H22" s="63">
        <f>+SUM(IIBB:OTROS!H22)</f>
        <v>209871.27527415002</v>
      </c>
      <c r="I22" s="63">
        <f>+SUM(IIBB:OTROS!I22)</f>
        <v>230324.96975697001</v>
      </c>
      <c r="J22" s="63">
        <f>+SUM(IIBB:OTROS!J22)</f>
        <v>0</v>
      </c>
      <c r="K22" s="63">
        <f>+SUM(IIBB:OTROS!K22)</f>
        <v>0</v>
      </c>
      <c r="L22" s="63">
        <f>+SUM(IIBB:OTROS!L22)</f>
        <v>0</v>
      </c>
      <c r="M22" s="63">
        <f>+SUM(IIBB:OTROS!M22)</f>
        <v>0</v>
      </c>
      <c r="N22" s="63">
        <f>+SUM(IIBB:OTROS!N22)</f>
        <v>0</v>
      </c>
      <c r="O22" s="64">
        <f t="shared" si="0"/>
        <v>1339797.1654399601</v>
      </c>
      <c r="P22" s="12"/>
      <c r="Q22"/>
      <c r="R22"/>
      <c r="S22"/>
      <c r="T22"/>
      <c r="U22"/>
    </row>
    <row r="23" spans="2:21" s="14" customFormat="1" ht="15.75" customHeight="1" x14ac:dyDescent="0.25">
      <c r="B23" s="58" t="s">
        <v>53</v>
      </c>
      <c r="C23" s="63">
        <f>+SUM(IIBB:OTROS!C23)</f>
        <v>83827.530503829999</v>
      </c>
      <c r="D23" s="63">
        <f>+SUM(IIBB:OTROS!D23)</f>
        <v>89190.591827000011</v>
      </c>
      <c r="E23" s="63">
        <f>+SUM(IIBB:OTROS!E23)</f>
        <v>76099.695972000016</v>
      </c>
      <c r="F23" s="63">
        <f>+SUM(IIBB:OTROS!F23)</f>
        <v>71811.170428900004</v>
      </c>
      <c r="G23" s="63">
        <f>+SUM(IIBB:OTROS!G23)</f>
        <v>71599.650238000002</v>
      </c>
      <c r="H23" s="63">
        <f>+SUM(IIBB:OTROS!H23)</f>
        <v>75539.209773220005</v>
      </c>
      <c r="I23" s="63">
        <f>+SUM(IIBB:OTROS!I23)</f>
        <v>82330.258229159997</v>
      </c>
      <c r="J23" s="63">
        <f>+SUM(IIBB:OTROS!J23)</f>
        <v>82280.402237440008</v>
      </c>
      <c r="K23" s="63">
        <f>+SUM(IIBB:OTROS!K23)</f>
        <v>0</v>
      </c>
      <c r="L23" s="63">
        <f>+SUM(IIBB:OTROS!L23)</f>
        <v>0</v>
      </c>
      <c r="M23" s="63">
        <f>+SUM(IIBB:OTROS!M23)</f>
        <v>0</v>
      </c>
      <c r="N23" s="63">
        <f>+SUM(IIBB:OTROS!N23)</f>
        <v>0</v>
      </c>
      <c r="O23" s="64">
        <f t="shared" si="0"/>
        <v>632678.50920954999</v>
      </c>
      <c r="P23" s="12"/>
      <c r="Q23"/>
      <c r="R23"/>
      <c r="S23"/>
      <c r="T23"/>
      <c r="U23"/>
    </row>
    <row r="24" spans="2:21" s="14" customFormat="1" ht="15.75" customHeight="1" x14ac:dyDescent="0.25">
      <c r="B24" s="58" t="s">
        <v>54</v>
      </c>
      <c r="C24" s="63">
        <f>+SUM(IIBB:OTROS!C24)</f>
        <v>74925.559599230008</v>
      </c>
      <c r="D24" s="63">
        <f>+SUM(IIBB:OTROS!D24)</f>
        <v>69849.510117920014</v>
      </c>
      <c r="E24" s="63">
        <f>+SUM(IIBB:OTROS!E24)</f>
        <v>65839.419089999996</v>
      </c>
      <c r="F24" s="63">
        <f>+SUM(IIBB:OTROS!F24)</f>
        <v>73188.314140020011</v>
      </c>
      <c r="G24" s="63">
        <f>+SUM(IIBB:OTROS!G24)</f>
        <v>73484.371131270003</v>
      </c>
      <c r="H24" s="63">
        <f>+SUM(IIBB:OTROS!H24)</f>
        <v>72664.726674210004</v>
      </c>
      <c r="I24" s="63">
        <f>+SUM(IIBB:OTROS!I24)</f>
        <v>0</v>
      </c>
      <c r="J24" s="63">
        <f>+SUM(IIBB:OTROS!J24)</f>
        <v>0</v>
      </c>
      <c r="K24" s="63">
        <f>+SUM(IIBB:OTROS!K24)</f>
        <v>0</v>
      </c>
      <c r="L24" s="63">
        <f>+SUM(IIBB:OTROS!L24)</f>
        <v>0</v>
      </c>
      <c r="M24" s="63">
        <f>+SUM(IIBB:OTROS!M24)</f>
        <v>0</v>
      </c>
      <c r="N24" s="63">
        <f>+SUM(IIBB:OTROS!N24)</f>
        <v>0</v>
      </c>
      <c r="O24" s="64">
        <f t="shared" si="0"/>
        <v>429951.90075264999</v>
      </c>
      <c r="P24" s="12"/>
      <c r="Q24"/>
      <c r="R24"/>
      <c r="S24"/>
      <c r="T24"/>
      <c r="U24"/>
    </row>
    <row r="25" spans="2:21" s="14" customFormat="1" ht="15.75" customHeight="1" x14ac:dyDescent="0.25">
      <c r="B25" s="58" t="s">
        <v>55</v>
      </c>
      <c r="C25" s="63">
        <f>+SUM(IIBB:OTROS!C25)</f>
        <v>32832.144930999995</v>
      </c>
      <c r="D25" s="63">
        <f>+SUM(IIBB:OTROS!D25)</f>
        <v>31578.628874999999</v>
      </c>
      <c r="E25" s="63">
        <f>+SUM(IIBB:OTROS!E25)</f>
        <v>31134.188408999999</v>
      </c>
      <c r="F25" s="63">
        <f>+SUM(IIBB:OTROS!F25)</f>
        <v>37756.975129000006</v>
      </c>
      <c r="G25" s="63">
        <f>+SUM(IIBB:OTROS!G25)</f>
        <v>33619.390894999997</v>
      </c>
      <c r="H25" s="63">
        <f>+SUM(IIBB:OTROS!H25)</f>
        <v>34316.313338</v>
      </c>
      <c r="I25" s="63">
        <f>+SUM(IIBB:OTROS!I25)</f>
        <v>33374.641714999998</v>
      </c>
      <c r="J25" s="63">
        <f>+SUM(IIBB:OTROS!J25)</f>
        <v>34548.322336000005</v>
      </c>
      <c r="K25" s="63">
        <f>+SUM(IIBB:OTROS!K25)</f>
        <v>0</v>
      </c>
      <c r="L25" s="63">
        <f>+SUM(IIBB:OTROS!L25)</f>
        <v>0</v>
      </c>
      <c r="M25" s="63">
        <f>+SUM(IIBB:OTROS!M25)</f>
        <v>0</v>
      </c>
      <c r="N25" s="63">
        <f>+SUM(IIBB:OTROS!N25)</f>
        <v>0</v>
      </c>
      <c r="O25" s="64">
        <f t="shared" si="0"/>
        <v>269160.60562799999</v>
      </c>
      <c r="P25" s="12"/>
      <c r="Q25"/>
      <c r="R25"/>
      <c r="S25"/>
      <c r="T25"/>
      <c r="U25"/>
    </row>
    <row r="26" spans="2:21" s="14" customFormat="1" ht="15.75" customHeight="1" x14ac:dyDescent="0.25">
      <c r="B26" s="58" t="s">
        <v>56</v>
      </c>
      <c r="C26" s="63">
        <f>+SUM(IIBB:OTROS!C26)</f>
        <v>32925.768204560001</v>
      </c>
      <c r="D26" s="63">
        <f>+SUM(IIBB:OTROS!D26)</f>
        <v>42241.453325999988</v>
      </c>
      <c r="E26" s="63">
        <f>+SUM(IIBB:OTROS!E26)</f>
        <v>35732.659469999999</v>
      </c>
      <c r="F26" s="63">
        <f>+SUM(IIBB:OTROS!F26)</f>
        <v>33109.846819830003</v>
      </c>
      <c r="G26" s="63">
        <f>+SUM(IIBB:OTROS!G26)</f>
        <v>33714.644284549991</v>
      </c>
      <c r="H26" s="63">
        <f>+SUM(IIBB:OTROS!H26)</f>
        <v>34436.175041289993</v>
      </c>
      <c r="I26" s="63">
        <f>+SUM(IIBB:OTROS!I26)</f>
        <v>35822.841114149996</v>
      </c>
      <c r="J26" s="63">
        <f>+SUM(IIBB:OTROS!J26)</f>
        <v>37869.764002780001</v>
      </c>
      <c r="K26" s="63">
        <f>+SUM(IIBB:OTROS!K26)</f>
        <v>0</v>
      </c>
      <c r="L26" s="63">
        <f>+SUM(IIBB:OTROS!L26)</f>
        <v>0</v>
      </c>
      <c r="M26" s="63">
        <f>+SUM(IIBB:OTROS!M26)</f>
        <v>0</v>
      </c>
      <c r="N26" s="63">
        <f>+SUM(IIBB:OTROS!N26)</f>
        <v>0</v>
      </c>
      <c r="O26" s="64">
        <f t="shared" si="0"/>
        <v>285853.15226315998</v>
      </c>
      <c r="P26" s="12"/>
      <c r="Q26"/>
      <c r="R26"/>
      <c r="S26"/>
      <c r="T26"/>
      <c r="U26"/>
    </row>
    <row r="27" spans="2:21" s="14" customFormat="1" ht="15.75" customHeight="1" x14ac:dyDescent="0.25">
      <c r="B27" s="58" t="s">
        <v>57</v>
      </c>
      <c r="C27" s="63">
        <f>+SUM(IIBB:OTROS!C27)</f>
        <v>47440.916503299995</v>
      </c>
      <c r="D27" s="63">
        <f>+SUM(IIBB:OTROS!D27)</f>
        <v>37099.322249110002</v>
      </c>
      <c r="E27" s="63">
        <f>+SUM(IIBB:OTROS!E27)</f>
        <v>33865.759930780005</v>
      </c>
      <c r="F27" s="63">
        <f>+SUM(IIBB:OTROS!F27)</f>
        <v>38906.655302610001</v>
      </c>
      <c r="G27" s="63">
        <f>+SUM(IIBB:OTROS!G27)</f>
        <v>37897.85440461</v>
      </c>
      <c r="H27" s="63">
        <f>+SUM(IIBB:OTROS!H27)</f>
        <v>40299.7299117</v>
      </c>
      <c r="I27" s="63">
        <f>+SUM(IIBB:OTROS!I27)</f>
        <v>39401.582900109999</v>
      </c>
      <c r="J27" s="63">
        <f>+SUM(IIBB:OTROS!J27)</f>
        <v>38906.655302610001</v>
      </c>
      <c r="K27" s="63">
        <f>+SUM(IIBB:OTROS!K27)</f>
        <v>0</v>
      </c>
      <c r="L27" s="63">
        <f>+SUM(IIBB:OTROS!L27)</f>
        <v>0</v>
      </c>
      <c r="M27" s="63">
        <f>+SUM(IIBB:OTROS!M27)</f>
        <v>0</v>
      </c>
      <c r="N27" s="63">
        <f>+SUM(IIBB:OTROS!N27)</f>
        <v>0</v>
      </c>
      <c r="O27" s="64">
        <f t="shared" si="0"/>
        <v>313818.47650483</v>
      </c>
      <c r="P27" s="12"/>
      <c r="Q27"/>
      <c r="R27"/>
      <c r="S27"/>
      <c r="T27"/>
      <c r="U27"/>
    </row>
    <row r="28" spans="2:21" s="11" customFormat="1" ht="15.75" customHeight="1" x14ac:dyDescent="0.25">
      <c r="B28" s="58" t="s">
        <v>86</v>
      </c>
      <c r="C28" s="63">
        <f>+SUM(IIBB:OTROS!C28)</f>
        <v>288666.20594244997</v>
      </c>
      <c r="D28" s="63">
        <f>+SUM(IIBB:OTROS!D28)</f>
        <v>335627.25375331996</v>
      </c>
      <c r="E28" s="63">
        <f>+SUM(IIBB:OTROS!E28)</f>
        <v>250222.41120564</v>
      </c>
      <c r="F28" s="63">
        <f>+SUM(IIBB:OTROS!F28)</f>
        <v>283281.62922786002</v>
      </c>
      <c r="G28" s="63">
        <f>+SUM(IIBB:OTROS!G28)</f>
        <v>285343.11561879003</v>
      </c>
      <c r="H28" s="63">
        <f>+SUM(IIBB:OTROS!H28)</f>
        <v>300572.80108445999</v>
      </c>
      <c r="I28" s="63">
        <f>+SUM(IIBB:OTROS!I28)</f>
        <v>316552.75363801129</v>
      </c>
      <c r="J28" s="63">
        <f>+SUM(IIBB:OTROS!J28)</f>
        <v>323800.86281004199</v>
      </c>
      <c r="K28" s="63">
        <f>+SUM(IIBB:OTROS!K28)</f>
        <v>0</v>
      </c>
      <c r="L28" s="63">
        <f>+SUM(IIBB:OTROS!L28)</f>
        <v>0</v>
      </c>
      <c r="M28" s="63">
        <f>+SUM(IIBB:OTROS!M28)</f>
        <v>0</v>
      </c>
      <c r="N28" s="63">
        <f>+SUM(IIBB:OTROS!N28)</f>
        <v>0</v>
      </c>
      <c r="O28" s="64">
        <f t="shared" si="0"/>
        <v>2384067.0332805729</v>
      </c>
      <c r="P28" s="12"/>
      <c r="Q28"/>
      <c r="R28"/>
      <c r="S28"/>
      <c r="T28"/>
      <c r="U28"/>
    </row>
    <row r="29" spans="2:21" s="14" customFormat="1" ht="15.75" customHeight="1" x14ac:dyDescent="0.25">
      <c r="B29" s="58" t="s">
        <v>59</v>
      </c>
      <c r="C29" s="63">
        <f>+SUM(IIBB:OTROS!C29)</f>
        <v>22738.89673534</v>
      </c>
      <c r="D29" s="63">
        <f>+SUM(IIBB:OTROS!D29)</f>
        <v>20785.314477730004</v>
      </c>
      <c r="E29" s="63">
        <f>+SUM(IIBB:OTROS!E29)</f>
        <v>25819.08733491</v>
      </c>
      <c r="F29" s="63">
        <f>+SUM(IIBB:OTROS!F29)</f>
        <v>25556.922012120001</v>
      </c>
      <c r="G29" s="63">
        <f>+SUM(IIBB:OTROS!G29)</f>
        <v>30433.307209570001</v>
      </c>
      <c r="H29" s="63">
        <f>+SUM(IIBB:OTROS!H29)</f>
        <v>33878.8831603</v>
      </c>
      <c r="I29" s="63">
        <f>+SUM(IIBB:OTROS!I29)</f>
        <v>33131.056637579997</v>
      </c>
      <c r="J29" s="63">
        <f>+SUM(IIBB:OTROS!J29)</f>
        <v>33821.175800030003</v>
      </c>
      <c r="K29" s="63">
        <f>+SUM(IIBB:OTROS!K29)</f>
        <v>32673.492345070004</v>
      </c>
      <c r="L29" s="63">
        <f>+SUM(IIBB:OTROS!L29)</f>
        <v>0</v>
      </c>
      <c r="M29" s="63">
        <f>+SUM(IIBB:OTROS!M29)</f>
        <v>0</v>
      </c>
      <c r="N29" s="63">
        <f>+SUM(IIBB:OTROS!N29)</f>
        <v>0</v>
      </c>
      <c r="O29" s="64">
        <f t="shared" si="0"/>
        <v>258838.13571265002</v>
      </c>
      <c r="P29" s="12"/>
      <c r="Q29"/>
      <c r="R29"/>
      <c r="S29"/>
      <c r="T29"/>
      <c r="U29"/>
    </row>
    <row r="30" spans="2:21" s="14" customFormat="1" ht="15.75" customHeight="1" x14ac:dyDescent="0.25">
      <c r="B30" s="58" t="s">
        <v>60</v>
      </c>
      <c r="C30" s="63">
        <f>+SUM(IIBB:OTROS!C30)</f>
        <v>113499.01943099999</v>
      </c>
      <c r="D30" s="63">
        <f>+SUM(IIBB:OTROS!D30)</f>
        <v>99218.207186999993</v>
      </c>
      <c r="E30" s="63">
        <f>+SUM(IIBB:OTROS!E30)</f>
        <v>97740.314624999985</v>
      </c>
      <c r="F30" s="63">
        <f>+SUM(IIBB:OTROS!F30)</f>
        <v>107722.41127099999</v>
      </c>
      <c r="G30" s="63">
        <f>+SUM(IIBB:OTROS!G30)</f>
        <v>110446.52122899999</v>
      </c>
      <c r="H30" s="63">
        <f>+SUM(IIBB:OTROS!H30)</f>
        <v>115179.08281400001</v>
      </c>
      <c r="I30" s="63">
        <f>+SUM(IIBB:OTROS!I30)</f>
        <v>122016.99726</v>
      </c>
      <c r="J30" s="63">
        <f>+SUM(IIBB:OTROS!J30)</f>
        <v>123627.21448299999</v>
      </c>
      <c r="K30" s="63">
        <f>+SUM(IIBB:OTROS!K30)</f>
        <v>0</v>
      </c>
      <c r="L30" s="63">
        <f>+SUM(IIBB:OTROS!L30)</f>
        <v>0</v>
      </c>
      <c r="M30" s="63">
        <f>+SUM(IIBB:OTROS!M30)</f>
        <v>0</v>
      </c>
      <c r="N30" s="63">
        <f>+SUM(IIBB:OTROS!N30)</f>
        <v>0</v>
      </c>
      <c r="O30" s="64">
        <f t="shared" si="0"/>
        <v>889449.76829999988</v>
      </c>
      <c r="P30" s="12"/>
      <c r="Q30"/>
      <c r="R30"/>
      <c r="S30"/>
      <c r="T30"/>
      <c r="U30"/>
    </row>
    <row r="31" spans="2:21" s="14" customFormat="1" ht="15.75" customHeight="1" x14ac:dyDescent="0.25">
      <c r="B31" s="58" t="s">
        <v>61</v>
      </c>
      <c r="C31" s="63">
        <f>+SUM(IIBB:OTROS!C31)</f>
        <v>30622.380185940005</v>
      </c>
      <c r="D31" s="63">
        <f>+SUM(IIBB:OTROS!D31)</f>
        <v>29811.743546170001</v>
      </c>
      <c r="E31" s="63">
        <f>+SUM(IIBB:OTROS!E31)</f>
        <v>27356.05143385</v>
      </c>
      <c r="F31" s="63">
        <f>+SUM(IIBB:OTROS!F31)</f>
        <v>32649.02381803</v>
      </c>
      <c r="G31" s="63">
        <f>+SUM(IIBB:OTROS!G31)</f>
        <v>28880.721139059999</v>
      </c>
      <c r="H31" s="63">
        <f>+SUM(IIBB:OTROS!H31)</f>
        <v>29296.207469869998</v>
      </c>
      <c r="I31" s="63">
        <f>+SUM(IIBB:OTROS!I31)</f>
        <v>31425.61251055</v>
      </c>
      <c r="J31" s="63">
        <f>+SUM(IIBB:OTROS!J31)</f>
        <v>34196.236865639999</v>
      </c>
      <c r="K31" s="63">
        <f>+SUM(IIBB:OTROS!K31)</f>
        <v>0</v>
      </c>
      <c r="L31" s="63">
        <f>+SUM(IIBB:OTROS!L31)</f>
        <v>0</v>
      </c>
      <c r="M31" s="63">
        <f>+SUM(IIBB:OTROS!M31)</f>
        <v>0</v>
      </c>
      <c r="N31" s="63">
        <f>+SUM(IIBB:OTROS!N31)</f>
        <v>0</v>
      </c>
      <c r="O31" s="64">
        <f t="shared" si="0"/>
        <v>244237.97696910999</v>
      </c>
      <c r="P31" s="12"/>
      <c r="Q31"/>
      <c r="R31"/>
      <c r="S31"/>
      <c r="T31"/>
      <c r="U31"/>
    </row>
    <row r="32" spans="2:21" ht="22.5" customHeight="1" x14ac:dyDescent="0.2">
      <c r="B32" s="65" t="s">
        <v>82</v>
      </c>
      <c r="C32" s="66">
        <f>SUM(C8:C31)</f>
        <v>4311255.2524231076</v>
      </c>
      <c r="D32" s="66">
        <f t="shared" ref="D32:N32" si="1">SUM(D8:D31)</f>
        <v>4179717.6403444726</v>
      </c>
      <c r="E32" s="66">
        <f t="shared" si="1"/>
        <v>3945213.3623798657</v>
      </c>
      <c r="F32" s="66">
        <f t="shared" si="1"/>
        <v>4264882.2621761728</v>
      </c>
      <c r="G32" s="66">
        <f t="shared" si="1"/>
        <v>4232269.1865165848</v>
      </c>
      <c r="H32" s="66">
        <f t="shared" si="1"/>
        <v>4458304.840222355</v>
      </c>
      <c r="I32" s="66">
        <f t="shared" si="1"/>
        <v>4405420.7517933706</v>
      </c>
      <c r="J32" s="66">
        <f t="shared" si="1"/>
        <v>2664365.9615545115</v>
      </c>
      <c r="K32" s="66">
        <f t="shared" si="1"/>
        <v>137230.93462837001</v>
      </c>
      <c r="L32" s="66">
        <f t="shared" si="1"/>
        <v>0</v>
      </c>
      <c r="M32" s="66">
        <f t="shared" si="1"/>
        <v>0</v>
      </c>
      <c r="N32" s="66">
        <f t="shared" si="1"/>
        <v>0</v>
      </c>
      <c r="O32" s="66">
        <f>SUM(O8:O31)</f>
        <v>32598660.192038812</v>
      </c>
      <c r="P32" s="12"/>
    </row>
    <row r="33" spans="2:16" s="28" customFormat="1" ht="21.75" customHeight="1" x14ac:dyDescent="0.2">
      <c r="B33" s="83" t="s">
        <v>28</v>
      </c>
      <c r="C33" s="86"/>
      <c r="D33" s="86"/>
      <c r="E33" s="86"/>
      <c r="P33" s="103"/>
    </row>
    <row r="34" spans="2:16" s="28" customFormat="1" ht="16.5" customHeight="1" x14ac:dyDescent="0.2">
      <c r="B34" s="84" t="s">
        <v>84</v>
      </c>
      <c r="C34" s="87"/>
    </row>
    <row r="35" spans="2:16" s="61" customFormat="1" ht="6.95" customHeight="1" thickBot="1" x14ac:dyDescent="0.3">
      <c r="B35" s="32"/>
      <c r="C35" s="51"/>
      <c r="D35" s="32"/>
      <c r="E35" s="32"/>
      <c r="F35" s="32"/>
      <c r="G35" s="32"/>
      <c r="H35" s="32"/>
      <c r="I35" s="32"/>
      <c r="J35" s="32"/>
      <c r="K35" s="32"/>
      <c r="L35" s="32"/>
      <c r="M35" s="32"/>
      <c r="N35" s="32"/>
      <c r="O35" s="32"/>
    </row>
    <row r="36" spans="2:16" ht="14.25" customHeight="1" x14ac:dyDescent="0.2">
      <c r="B36" s="33" t="s">
        <v>29</v>
      </c>
      <c r="C36" s="16"/>
      <c r="E36" s="16"/>
      <c r="F36" s="16"/>
    </row>
    <row r="37" spans="2:16" x14ac:dyDescent="0.2">
      <c r="C37" s="17"/>
      <c r="D37" s="17"/>
      <c r="E37" s="17"/>
    </row>
    <row r="39" spans="2:16" ht="20.25" x14ac:dyDescent="0.3">
      <c r="C39" s="17"/>
      <c r="D39" s="17"/>
      <c r="E39" s="17"/>
      <c r="F39" s="18"/>
    </row>
    <row r="40" spans="2:16" x14ac:dyDescent="0.2">
      <c r="C40" s="17"/>
      <c r="D40" s="17"/>
      <c r="E40" s="17"/>
      <c r="F40" s="17"/>
      <c r="G40" s="17"/>
      <c r="H40" s="17"/>
      <c r="I40" s="17"/>
      <c r="J40" s="17"/>
      <c r="K40" s="17"/>
      <c r="L40" s="17"/>
      <c r="M40" s="17"/>
      <c r="N40" s="17"/>
      <c r="O40" s="17"/>
    </row>
    <row r="41" spans="2:16" x14ac:dyDescent="0.2">
      <c r="C41" s="17"/>
      <c r="D41" s="17"/>
      <c r="E41" s="17"/>
      <c r="F41" s="17"/>
      <c r="G41" s="17"/>
      <c r="H41" s="17"/>
      <c r="I41" s="17"/>
      <c r="J41" s="17"/>
      <c r="K41" s="17"/>
      <c r="L41" s="17"/>
      <c r="M41" s="17"/>
      <c r="N41" s="17"/>
      <c r="O41" s="17"/>
    </row>
    <row r="42" spans="2:16" x14ac:dyDescent="0.2">
      <c r="C42" s="17"/>
      <c r="D42" s="17"/>
      <c r="E42" s="17"/>
      <c r="F42" s="17"/>
      <c r="G42" s="17"/>
      <c r="H42" s="17"/>
      <c r="I42" s="17"/>
      <c r="J42" s="17"/>
      <c r="K42" s="17"/>
      <c r="L42" s="17"/>
      <c r="M42" s="17"/>
      <c r="N42" s="17"/>
      <c r="O42" s="17"/>
    </row>
    <row r="43" spans="2:16" x14ac:dyDescent="0.2">
      <c r="C43" s="17"/>
      <c r="D43" s="17"/>
      <c r="E43" s="17"/>
      <c r="F43" s="17"/>
      <c r="G43" s="17"/>
      <c r="H43" s="17"/>
      <c r="I43" s="17"/>
      <c r="J43" s="17"/>
      <c r="K43" s="17"/>
      <c r="L43" s="17"/>
      <c r="M43" s="17"/>
      <c r="N43" s="17"/>
      <c r="O43" s="17"/>
    </row>
    <row r="44" spans="2:16" x14ac:dyDescent="0.2">
      <c r="C44" s="17"/>
      <c r="D44" s="17"/>
      <c r="E44" s="17"/>
      <c r="F44" s="17"/>
      <c r="G44" s="17"/>
      <c r="H44" s="17"/>
      <c r="I44" s="17"/>
      <c r="J44" s="17"/>
      <c r="K44" s="17"/>
      <c r="L44" s="17"/>
      <c r="M44" s="17"/>
      <c r="N44" s="17"/>
      <c r="O44" s="17"/>
    </row>
    <row r="45" spans="2:16" x14ac:dyDescent="0.2">
      <c r="C45" s="17"/>
      <c r="D45" s="17"/>
      <c r="E45" s="17"/>
      <c r="F45" s="17"/>
      <c r="G45" s="17"/>
      <c r="H45" s="17"/>
      <c r="I45" s="17"/>
      <c r="J45" s="17"/>
      <c r="K45" s="17"/>
      <c r="L45" s="17"/>
      <c r="M45" s="17"/>
      <c r="N45" s="17"/>
      <c r="O45" s="17"/>
    </row>
    <row r="46" spans="2:16" x14ac:dyDescent="0.2">
      <c r="C46" s="17"/>
      <c r="D46" s="17"/>
      <c r="E46" s="17"/>
      <c r="F46" s="17"/>
      <c r="G46" s="17"/>
      <c r="H46" s="17"/>
      <c r="I46" s="17"/>
      <c r="J46" s="17"/>
      <c r="K46" s="17"/>
      <c r="L46" s="17"/>
      <c r="M46" s="17"/>
      <c r="N46" s="17"/>
      <c r="O46" s="17"/>
    </row>
    <row r="47" spans="2:16" x14ac:dyDescent="0.2">
      <c r="C47" s="17"/>
      <c r="D47" s="17"/>
      <c r="E47" s="17"/>
      <c r="F47" s="17"/>
      <c r="G47" s="17"/>
      <c r="H47" s="17"/>
      <c r="I47" s="17"/>
      <c r="J47" s="17"/>
      <c r="K47" s="17"/>
      <c r="L47" s="17"/>
      <c r="M47" s="17"/>
      <c r="N47" s="17"/>
      <c r="O47" s="17"/>
    </row>
    <row r="48" spans="2:16" x14ac:dyDescent="0.2">
      <c r="C48" s="17"/>
      <c r="D48" s="17"/>
      <c r="E48" s="17"/>
      <c r="F48" s="17"/>
      <c r="G48" s="17"/>
      <c r="H48" s="17"/>
      <c r="I48" s="17"/>
      <c r="J48" s="17"/>
      <c r="K48" s="17"/>
      <c r="L48" s="17"/>
      <c r="M48" s="17"/>
      <c r="N48" s="17"/>
      <c r="O48" s="17"/>
    </row>
    <row r="49" spans="3:15" x14ac:dyDescent="0.2">
      <c r="C49" s="17"/>
      <c r="D49" s="17"/>
      <c r="E49" s="17"/>
      <c r="F49" s="17"/>
      <c r="G49" s="17"/>
      <c r="H49" s="17"/>
      <c r="I49" s="17"/>
      <c r="J49" s="17"/>
      <c r="K49" s="17"/>
      <c r="L49" s="17"/>
      <c r="M49" s="17"/>
      <c r="N49" s="17"/>
      <c r="O49" s="17"/>
    </row>
    <row r="50" spans="3:15" x14ac:dyDescent="0.2">
      <c r="C50" s="17"/>
      <c r="D50" s="17"/>
      <c r="E50" s="17"/>
      <c r="F50" s="17"/>
      <c r="G50" s="17"/>
      <c r="H50" s="17"/>
      <c r="I50" s="17"/>
      <c r="J50" s="17"/>
      <c r="K50" s="17"/>
      <c r="L50" s="17"/>
      <c r="M50" s="17"/>
      <c r="N50" s="17"/>
      <c r="O50" s="17"/>
    </row>
    <row r="51" spans="3:15" x14ac:dyDescent="0.2">
      <c r="C51" s="17"/>
      <c r="D51" s="17"/>
      <c r="E51" s="17"/>
      <c r="F51" s="17"/>
      <c r="G51" s="17"/>
      <c r="H51" s="17"/>
      <c r="I51" s="17"/>
      <c r="J51" s="17"/>
      <c r="K51" s="17"/>
      <c r="L51" s="17"/>
      <c r="M51" s="17"/>
      <c r="N51" s="17"/>
      <c r="O51" s="17"/>
    </row>
    <row r="52" spans="3:15" x14ac:dyDescent="0.2">
      <c r="C52" s="17"/>
      <c r="D52" s="17"/>
      <c r="E52" s="17"/>
      <c r="F52" s="17"/>
      <c r="G52" s="17"/>
      <c r="H52" s="17"/>
      <c r="I52" s="17"/>
      <c r="J52" s="17"/>
      <c r="K52" s="17"/>
      <c r="L52" s="17"/>
      <c r="M52" s="17"/>
      <c r="N52" s="17"/>
      <c r="O52" s="17"/>
    </row>
    <row r="53" spans="3:15" x14ac:dyDescent="0.2">
      <c r="C53" s="17"/>
      <c r="D53" s="17"/>
      <c r="E53" s="17"/>
      <c r="F53" s="17"/>
      <c r="G53" s="17"/>
      <c r="H53" s="17"/>
      <c r="I53" s="17"/>
      <c r="J53" s="17"/>
      <c r="K53" s="17"/>
      <c r="L53" s="17"/>
      <c r="M53" s="17"/>
      <c r="N53" s="17"/>
      <c r="O53" s="17"/>
    </row>
    <row r="54" spans="3:15" x14ac:dyDescent="0.2">
      <c r="C54" s="17"/>
      <c r="D54" s="17"/>
      <c r="E54" s="17"/>
      <c r="F54" s="17"/>
      <c r="G54" s="17"/>
      <c r="H54" s="17"/>
      <c r="I54" s="17"/>
      <c r="J54" s="17"/>
      <c r="K54" s="17"/>
      <c r="L54" s="17"/>
      <c r="M54" s="17"/>
      <c r="N54" s="17"/>
      <c r="O54" s="17"/>
    </row>
    <row r="55" spans="3:15" x14ac:dyDescent="0.2">
      <c r="C55" s="17"/>
      <c r="D55" s="17"/>
      <c r="E55" s="17"/>
      <c r="F55" s="17"/>
      <c r="G55" s="17"/>
      <c r="H55" s="17"/>
      <c r="I55" s="17"/>
      <c r="J55" s="17"/>
      <c r="K55" s="17"/>
      <c r="L55" s="17"/>
      <c r="M55" s="17"/>
      <c r="N55" s="17"/>
      <c r="O55" s="17"/>
    </row>
    <row r="56" spans="3:15" x14ac:dyDescent="0.2">
      <c r="C56" s="17"/>
      <c r="D56" s="17"/>
      <c r="E56" s="17"/>
      <c r="F56" s="17"/>
      <c r="G56" s="17"/>
      <c r="H56" s="17"/>
      <c r="I56" s="17"/>
      <c r="J56" s="17"/>
      <c r="K56" s="17"/>
      <c r="L56" s="17"/>
      <c r="M56" s="17"/>
      <c r="N56" s="17"/>
      <c r="O56" s="17"/>
    </row>
    <row r="57" spans="3:15" x14ac:dyDescent="0.2">
      <c r="C57" s="17"/>
      <c r="D57" s="17"/>
      <c r="E57" s="17"/>
      <c r="F57" s="17"/>
      <c r="G57" s="17"/>
      <c r="H57" s="17"/>
      <c r="I57" s="17"/>
      <c r="J57" s="17"/>
      <c r="K57" s="17"/>
      <c r="L57" s="17"/>
      <c r="M57" s="17"/>
      <c r="N57" s="17"/>
      <c r="O57" s="17"/>
    </row>
    <row r="58" spans="3:15" x14ac:dyDescent="0.2">
      <c r="C58" s="17"/>
      <c r="D58" s="17"/>
      <c r="E58" s="17"/>
      <c r="F58" s="17"/>
      <c r="G58" s="17"/>
      <c r="H58" s="17"/>
      <c r="I58" s="17"/>
      <c r="J58" s="17"/>
      <c r="K58" s="17"/>
      <c r="L58" s="17"/>
      <c r="M58" s="17"/>
      <c r="N58" s="17"/>
      <c r="O58" s="17"/>
    </row>
    <row r="59" spans="3:15" x14ac:dyDescent="0.2">
      <c r="C59" s="17"/>
      <c r="D59" s="17"/>
      <c r="E59" s="17"/>
      <c r="F59" s="17"/>
      <c r="G59" s="17"/>
      <c r="H59" s="17"/>
      <c r="I59" s="17"/>
      <c r="J59" s="17"/>
      <c r="K59" s="17"/>
      <c r="L59" s="17"/>
      <c r="M59" s="17"/>
      <c r="N59" s="17"/>
      <c r="O59" s="17"/>
    </row>
    <row r="60" spans="3:15" x14ac:dyDescent="0.2">
      <c r="C60" s="17"/>
      <c r="D60" s="17"/>
      <c r="E60" s="17"/>
      <c r="F60" s="17"/>
      <c r="G60" s="17"/>
      <c r="H60" s="17"/>
      <c r="I60" s="17"/>
      <c r="J60" s="17"/>
      <c r="K60" s="17"/>
      <c r="L60" s="17"/>
      <c r="M60" s="17"/>
      <c r="N60" s="17"/>
      <c r="O60" s="17"/>
    </row>
    <row r="61" spans="3:15" x14ac:dyDescent="0.2">
      <c r="C61" s="17"/>
      <c r="D61" s="17"/>
      <c r="E61" s="17"/>
      <c r="F61" s="17"/>
      <c r="G61" s="17"/>
      <c r="H61" s="17"/>
      <c r="I61" s="17"/>
      <c r="J61" s="17"/>
      <c r="K61" s="17"/>
      <c r="L61" s="17"/>
      <c r="M61" s="17"/>
      <c r="N61" s="17"/>
      <c r="O61" s="17"/>
    </row>
    <row r="62" spans="3:15" x14ac:dyDescent="0.2">
      <c r="C62" s="17"/>
      <c r="D62" s="17"/>
      <c r="E62" s="17"/>
      <c r="F62" s="17"/>
      <c r="G62" s="17"/>
      <c r="H62" s="17"/>
      <c r="I62" s="17"/>
      <c r="J62" s="17"/>
      <c r="K62" s="17"/>
      <c r="L62" s="17"/>
      <c r="M62" s="17"/>
      <c r="N62" s="17"/>
      <c r="O62" s="17"/>
    </row>
    <row r="63" spans="3:15" x14ac:dyDescent="0.2">
      <c r="C63" s="17"/>
      <c r="D63" s="17"/>
      <c r="E63" s="17"/>
      <c r="F63" s="17"/>
      <c r="G63" s="17"/>
      <c r="H63" s="17"/>
      <c r="I63" s="17"/>
      <c r="J63" s="17"/>
      <c r="K63" s="17"/>
      <c r="L63" s="17"/>
      <c r="M63" s="17"/>
      <c r="N63" s="17"/>
      <c r="O63" s="17"/>
    </row>
  </sheetData>
  <mergeCells count="3">
    <mergeCell ref="B2:O2"/>
    <mergeCell ref="B3:O3"/>
    <mergeCell ref="B4:O4"/>
  </mergeCells>
  <printOptions horizontalCentered="1" verticalCentered="1"/>
  <pageMargins left="0" right="0" top="0" bottom="0" header="0" footer="0"/>
  <pageSetup paperSize="9" scale="67"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pageSetUpPr fitToPage="1"/>
  </sheetPr>
  <dimension ref="A1:C34"/>
  <sheetViews>
    <sheetView showGridLines="0" zoomScale="85" zoomScaleNormal="85" workbookViewId="0"/>
  </sheetViews>
  <sheetFormatPr baseColWidth="10" defaultColWidth="11.42578125" defaultRowHeight="15" x14ac:dyDescent="0.25"/>
  <cols>
    <col min="1" max="1" width="1.28515625" style="54" customWidth="1"/>
    <col min="2" max="2" width="26.85546875" style="54" customWidth="1"/>
    <col min="3" max="3" width="124.28515625" style="54" customWidth="1"/>
    <col min="4" max="16384" width="11.42578125" style="54"/>
  </cols>
  <sheetData>
    <row r="1" spans="1:3" ht="104.25" customHeight="1" x14ac:dyDescent="0.25">
      <c r="B1" s="111" t="s">
        <v>66</v>
      </c>
      <c r="C1" s="111"/>
    </row>
    <row r="2" spans="1:3" s="55" customFormat="1" ht="45" customHeight="1" x14ac:dyDescent="0.25">
      <c r="B2" s="109" t="s">
        <v>67</v>
      </c>
      <c r="C2" s="110"/>
    </row>
    <row r="3" spans="1:3" s="55" customFormat="1" ht="45" customHeight="1" x14ac:dyDescent="0.25">
      <c r="B3" s="110"/>
      <c r="C3" s="110"/>
    </row>
    <row r="4" spans="1:3" s="55" customFormat="1" ht="45" customHeight="1" x14ac:dyDescent="0.25">
      <c r="B4" s="110"/>
      <c r="C4" s="110"/>
    </row>
    <row r="5" spans="1:3" x14ac:dyDescent="0.25">
      <c r="B5" s="56"/>
    </row>
    <row r="6" spans="1:3" ht="23.1" customHeight="1" x14ac:dyDescent="0.25">
      <c r="B6" s="88" t="s">
        <v>30</v>
      </c>
      <c r="C6" s="88" t="s">
        <v>68</v>
      </c>
    </row>
    <row r="7" spans="1:3" ht="9.9499999999999993" hidden="1" customHeight="1" x14ac:dyDescent="0.25">
      <c r="B7" s="89"/>
      <c r="C7" s="90"/>
    </row>
    <row r="8" spans="1:3" x14ac:dyDescent="0.25">
      <c r="B8" s="91" t="s">
        <v>69</v>
      </c>
      <c r="C8" s="94" t="s">
        <v>27</v>
      </c>
    </row>
    <row r="9" spans="1:3" x14ac:dyDescent="0.25">
      <c r="A9" s="57"/>
      <c r="B9" s="91" t="s">
        <v>39</v>
      </c>
      <c r="C9" s="94" t="s">
        <v>19</v>
      </c>
    </row>
    <row r="10" spans="1:3" x14ac:dyDescent="0.25">
      <c r="B10" s="91" t="s">
        <v>40</v>
      </c>
      <c r="C10" s="94" t="s">
        <v>95</v>
      </c>
    </row>
    <row r="11" spans="1:3" x14ac:dyDescent="0.25">
      <c r="B11" s="91" t="s">
        <v>41</v>
      </c>
      <c r="C11" s="94" t="s">
        <v>88</v>
      </c>
    </row>
    <row r="12" spans="1:3" x14ac:dyDescent="0.25">
      <c r="B12" s="91" t="s">
        <v>42</v>
      </c>
      <c r="C12" s="100" t="s">
        <v>7</v>
      </c>
    </row>
    <row r="13" spans="1:3" x14ac:dyDescent="0.25">
      <c r="B13" s="91" t="s">
        <v>43</v>
      </c>
      <c r="C13" s="92" t="s">
        <v>15</v>
      </c>
    </row>
    <row r="14" spans="1:3" ht="30" x14ac:dyDescent="0.25">
      <c r="B14" s="121" t="s">
        <v>44</v>
      </c>
      <c r="C14" s="120" t="s">
        <v>96</v>
      </c>
    </row>
    <row r="15" spans="1:3" x14ac:dyDescent="0.25">
      <c r="B15" s="91" t="s">
        <v>45</v>
      </c>
      <c r="C15" s="94" t="s">
        <v>20</v>
      </c>
    </row>
    <row r="16" spans="1:3" x14ac:dyDescent="0.25">
      <c r="B16" s="91" t="s">
        <v>46</v>
      </c>
      <c r="C16" s="94" t="s">
        <v>21</v>
      </c>
    </row>
    <row r="17" spans="1:3" x14ac:dyDescent="0.25">
      <c r="B17" s="91" t="s">
        <v>47</v>
      </c>
      <c r="C17" s="94" t="s">
        <v>16</v>
      </c>
    </row>
    <row r="18" spans="1:3" ht="30" x14ac:dyDescent="0.25">
      <c r="A18" s="57"/>
      <c r="B18" s="97" t="s">
        <v>48</v>
      </c>
      <c r="C18" s="101" t="s">
        <v>92</v>
      </c>
    </row>
    <row r="19" spans="1:3" x14ac:dyDescent="0.25">
      <c r="B19" s="91" t="s">
        <v>49</v>
      </c>
      <c r="C19" s="93" t="s">
        <v>17</v>
      </c>
    </row>
    <row r="20" spans="1:3" x14ac:dyDescent="0.25">
      <c r="B20" s="91" t="s">
        <v>50</v>
      </c>
      <c r="C20" s="93" t="s">
        <v>93</v>
      </c>
    </row>
    <row r="21" spans="1:3" x14ac:dyDescent="0.25">
      <c r="B21" s="91" t="s">
        <v>51</v>
      </c>
      <c r="C21" s="92" t="s">
        <v>22</v>
      </c>
    </row>
    <row r="22" spans="1:3" x14ac:dyDescent="0.25">
      <c r="B22" s="91" t="s">
        <v>52</v>
      </c>
      <c r="C22" s="92" t="s">
        <v>23</v>
      </c>
    </row>
    <row r="23" spans="1:3" x14ac:dyDescent="0.25">
      <c r="B23" s="91" t="s">
        <v>53</v>
      </c>
      <c r="C23" s="92" t="s">
        <v>24</v>
      </c>
    </row>
    <row r="24" spans="1:3" x14ac:dyDescent="0.25">
      <c r="B24" s="91" t="s">
        <v>54</v>
      </c>
      <c r="C24" s="104" t="s">
        <v>90</v>
      </c>
    </row>
    <row r="25" spans="1:3" x14ac:dyDescent="0.25">
      <c r="B25" s="91" t="s">
        <v>55</v>
      </c>
      <c r="C25" s="92" t="s">
        <v>25</v>
      </c>
    </row>
    <row r="26" spans="1:3" x14ac:dyDescent="0.25">
      <c r="B26" s="91" t="s">
        <v>56</v>
      </c>
      <c r="C26" s="104" t="s">
        <v>91</v>
      </c>
    </row>
    <row r="27" spans="1:3" x14ac:dyDescent="0.25">
      <c r="B27" s="91" t="s">
        <v>57</v>
      </c>
      <c r="C27" s="92" t="s">
        <v>26</v>
      </c>
    </row>
    <row r="28" spans="1:3" x14ac:dyDescent="0.25">
      <c r="B28" s="91" t="s">
        <v>58</v>
      </c>
      <c r="C28" s="92" t="s">
        <v>94</v>
      </c>
    </row>
    <row r="29" spans="1:3" x14ac:dyDescent="0.25">
      <c r="A29" s="57"/>
      <c r="B29" s="91" t="s">
        <v>59</v>
      </c>
      <c r="C29" s="100" t="s">
        <v>7</v>
      </c>
    </row>
    <row r="30" spans="1:3" x14ac:dyDescent="0.25">
      <c r="B30" s="91" t="s">
        <v>60</v>
      </c>
      <c r="C30" s="93" t="s">
        <v>18</v>
      </c>
    </row>
    <row r="31" spans="1:3" x14ac:dyDescent="0.25">
      <c r="B31" s="91" t="s">
        <v>61</v>
      </c>
      <c r="C31" s="93" t="s">
        <v>14</v>
      </c>
    </row>
    <row r="32" spans="1:3" ht="6.95" customHeight="1" x14ac:dyDescent="0.25">
      <c r="B32" s="55"/>
    </row>
    <row r="33" spans="2:3" ht="6.95" customHeight="1" thickBot="1" x14ac:dyDescent="0.3">
      <c r="B33" s="50"/>
      <c r="C33" s="51"/>
    </row>
    <row r="34" spans="2:3" x14ac:dyDescent="0.25">
      <c r="B34" s="33" t="s">
        <v>29</v>
      </c>
      <c r="C34" s="52"/>
    </row>
  </sheetData>
  <mergeCells count="2">
    <mergeCell ref="B2:C4"/>
    <mergeCell ref="B1:C1"/>
  </mergeCells>
  <dataValidations disablePrompts="1" count="1">
    <dataValidation type="custom" errorStyle="warning" allowBlank="1" showInputMessage="1" showErrorMessage="1" errorTitle="error" error="warning" sqref="C34:D34" xr:uid="{00000000-0002-0000-0600-000000000000}">
      <formula1>"&gt;10"</formula1>
    </dataValidation>
  </dataValidations>
  <hyperlinks>
    <hyperlink ref="C8" r:id="rId1" xr:uid="{AF6A7A84-EB9A-444F-BEA9-C027A4E81462}"/>
    <hyperlink ref="C9" r:id="rId2" xr:uid="{9EB08E42-455C-4312-966C-8217EDCC1A99}"/>
    <hyperlink ref="C15" r:id="rId3" xr:uid="{EFB00C3A-E1B8-43A5-880A-A021127958E2}"/>
    <hyperlink ref="C17" r:id="rId4" xr:uid="{7AFD6A00-C152-4F17-99BB-ECFDCF3B9573}"/>
    <hyperlink ref="C20" r:id="rId5" xr:uid="{B236FDD4-376F-411C-AC3C-A63F73557C0A}"/>
    <hyperlink ref="C22" r:id="rId6" xr:uid="{AF6D6DD6-2866-4523-AB67-C2FD0B660247}"/>
    <hyperlink ref="C23" r:id="rId7" xr:uid="{500EC14E-3FC5-4482-8C8E-344D99CE776F}"/>
    <hyperlink ref="C24" r:id="rId8" xr:uid="{4EA48A22-41E7-4360-8FC1-A84F32CB2E79}"/>
    <hyperlink ref="C26" r:id="rId9" xr:uid="{8A6E8293-A0B0-4E6A-B389-2E65492703EA}"/>
    <hyperlink ref="C28" r:id="rId10" xr:uid="{24DFB9EA-8A2C-4BFA-AF36-B7D0D28659B2}"/>
    <hyperlink ref="C31" r:id="rId11" xr:uid="{E7FCA7C2-72F8-404E-8B77-174E481AD371}"/>
    <hyperlink ref="C10" r:id="rId12" xr:uid="{ECC1BEC3-2371-4433-864B-938BC3EF0EC0}"/>
  </hyperlinks>
  <printOptions horizontalCentered="1" verticalCentered="1"/>
  <pageMargins left="0.70866141732283472" right="0.70866141732283472" top="0.74803149606299213" bottom="0.74803149606299213" header="0.31496062992125984" footer="0.31496062992125984"/>
  <pageSetup paperSize="9" scale="89" orientation="landscape" r:id="rId13"/>
  <drawing r:id="rId1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pageSetUpPr fitToPage="1"/>
  </sheetPr>
  <dimension ref="A1:N47"/>
  <sheetViews>
    <sheetView showGridLines="0" zoomScale="85" zoomScaleNormal="85" workbookViewId="0">
      <selection activeCell="K19" sqref="K19"/>
    </sheetView>
  </sheetViews>
  <sheetFormatPr baseColWidth="10" defaultRowHeight="15" x14ac:dyDescent="0.25"/>
  <cols>
    <col min="1" max="1" width="26.85546875" style="35" customWidth="1"/>
    <col min="2" max="2" width="20.5703125" style="35" customWidth="1"/>
    <col min="3" max="3" width="20" style="35" customWidth="1"/>
    <col min="4" max="4" width="20.140625" style="35" customWidth="1"/>
    <col min="5" max="6" width="22.140625" style="35" customWidth="1"/>
    <col min="7" max="7" width="17" style="35" hidden="1" customWidth="1"/>
    <col min="8" max="256" width="11.42578125" style="35"/>
    <col min="257" max="257" width="33.28515625" style="35" customWidth="1"/>
    <col min="258" max="258" width="20.5703125" style="35" customWidth="1"/>
    <col min="259" max="259" width="20" style="35" customWidth="1"/>
    <col min="260" max="260" width="20.140625" style="35" customWidth="1"/>
    <col min="261" max="261" width="22.140625" style="35" customWidth="1"/>
    <col min="262" max="262" width="28" style="35" customWidth="1"/>
    <col min="263" max="263" width="0" style="35" hidden="1" customWidth="1"/>
    <col min="264" max="512" width="11.42578125" style="35"/>
    <col min="513" max="513" width="33.28515625" style="35" customWidth="1"/>
    <col min="514" max="514" width="20.5703125" style="35" customWidth="1"/>
    <col min="515" max="515" width="20" style="35" customWidth="1"/>
    <col min="516" max="516" width="20.140625" style="35" customWidth="1"/>
    <col min="517" max="517" width="22.140625" style="35" customWidth="1"/>
    <col min="518" max="518" width="28" style="35" customWidth="1"/>
    <col min="519" max="519" width="0" style="35" hidden="1" customWidth="1"/>
    <col min="520" max="768" width="11.42578125" style="35"/>
    <col min="769" max="769" width="33.28515625" style="35" customWidth="1"/>
    <col min="770" max="770" width="20.5703125" style="35" customWidth="1"/>
    <col min="771" max="771" width="20" style="35" customWidth="1"/>
    <col min="772" max="772" width="20.140625" style="35" customWidth="1"/>
    <col min="773" max="773" width="22.140625" style="35" customWidth="1"/>
    <col min="774" max="774" width="28" style="35" customWidth="1"/>
    <col min="775" max="775" width="0" style="35" hidden="1" customWidth="1"/>
    <col min="776" max="1024" width="11.42578125" style="35"/>
    <col min="1025" max="1025" width="33.28515625" style="35" customWidth="1"/>
    <col min="1026" max="1026" width="20.5703125" style="35" customWidth="1"/>
    <col min="1027" max="1027" width="20" style="35" customWidth="1"/>
    <col min="1028" max="1028" width="20.140625" style="35" customWidth="1"/>
    <col min="1029" max="1029" width="22.140625" style="35" customWidth="1"/>
    <col min="1030" max="1030" width="28" style="35" customWidth="1"/>
    <col min="1031" max="1031" width="0" style="35" hidden="1" customWidth="1"/>
    <col min="1032" max="1280" width="11.42578125" style="35"/>
    <col min="1281" max="1281" width="33.28515625" style="35" customWidth="1"/>
    <col min="1282" max="1282" width="20.5703125" style="35" customWidth="1"/>
    <col min="1283" max="1283" width="20" style="35" customWidth="1"/>
    <col min="1284" max="1284" width="20.140625" style="35" customWidth="1"/>
    <col min="1285" max="1285" width="22.140625" style="35" customWidth="1"/>
    <col min="1286" max="1286" width="28" style="35" customWidth="1"/>
    <col min="1287" max="1287" width="0" style="35" hidden="1" customWidth="1"/>
    <col min="1288" max="1536" width="11.42578125" style="35"/>
    <col min="1537" max="1537" width="33.28515625" style="35" customWidth="1"/>
    <col min="1538" max="1538" width="20.5703125" style="35" customWidth="1"/>
    <col min="1539" max="1539" width="20" style="35" customWidth="1"/>
    <col min="1540" max="1540" width="20.140625" style="35" customWidth="1"/>
    <col min="1541" max="1541" width="22.140625" style="35" customWidth="1"/>
    <col min="1542" max="1542" width="28" style="35" customWidth="1"/>
    <col min="1543" max="1543" width="0" style="35" hidden="1" customWidth="1"/>
    <col min="1544" max="1792" width="11.42578125" style="35"/>
    <col min="1793" max="1793" width="33.28515625" style="35" customWidth="1"/>
    <col min="1794" max="1794" width="20.5703125" style="35" customWidth="1"/>
    <col min="1795" max="1795" width="20" style="35" customWidth="1"/>
    <col min="1796" max="1796" width="20.140625" style="35" customWidth="1"/>
    <col min="1797" max="1797" width="22.140625" style="35" customWidth="1"/>
    <col min="1798" max="1798" width="28" style="35" customWidth="1"/>
    <col min="1799" max="1799" width="0" style="35" hidden="1" customWidth="1"/>
    <col min="1800" max="2048" width="11.42578125" style="35"/>
    <col min="2049" max="2049" width="33.28515625" style="35" customWidth="1"/>
    <col min="2050" max="2050" width="20.5703125" style="35" customWidth="1"/>
    <col min="2051" max="2051" width="20" style="35" customWidth="1"/>
    <col min="2052" max="2052" width="20.140625" style="35" customWidth="1"/>
    <col min="2053" max="2053" width="22.140625" style="35" customWidth="1"/>
    <col min="2054" max="2054" width="28" style="35" customWidth="1"/>
    <col min="2055" max="2055" width="0" style="35" hidden="1" customWidth="1"/>
    <col min="2056" max="2304" width="11.42578125" style="35"/>
    <col min="2305" max="2305" width="33.28515625" style="35" customWidth="1"/>
    <col min="2306" max="2306" width="20.5703125" style="35" customWidth="1"/>
    <col min="2307" max="2307" width="20" style="35" customWidth="1"/>
    <col min="2308" max="2308" width="20.140625" style="35" customWidth="1"/>
    <col min="2309" max="2309" width="22.140625" style="35" customWidth="1"/>
    <col min="2310" max="2310" width="28" style="35" customWidth="1"/>
    <col min="2311" max="2311" width="0" style="35" hidden="1" customWidth="1"/>
    <col min="2312" max="2560" width="11.42578125" style="35"/>
    <col min="2561" max="2561" width="33.28515625" style="35" customWidth="1"/>
    <col min="2562" max="2562" width="20.5703125" style="35" customWidth="1"/>
    <col min="2563" max="2563" width="20" style="35" customWidth="1"/>
    <col min="2564" max="2564" width="20.140625" style="35" customWidth="1"/>
    <col min="2565" max="2565" width="22.140625" style="35" customWidth="1"/>
    <col min="2566" max="2566" width="28" style="35" customWidth="1"/>
    <col min="2567" max="2567" width="0" style="35" hidden="1" customWidth="1"/>
    <col min="2568" max="2816" width="11.42578125" style="35"/>
    <col min="2817" max="2817" width="33.28515625" style="35" customWidth="1"/>
    <col min="2818" max="2818" width="20.5703125" style="35" customWidth="1"/>
    <col min="2819" max="2819" width="20" style="35" customWidth="1"/>
    <col min="2820" max="2820" width="20.140625" style="35" customWidth="1"/>
    <col min="2821" max="2821" width="22.140625" style="35" customWidth="1"/>
    <col min="2822" max="2822" width="28" style="35" customWidth="1"/>
    <col min="2823" max="2823" width="0" style="35" hidden="1" customWidth="1"/>
    <col min="2824" max="3072" width="11.42578125" style="35"/>
    <col min="3073" max="3073" width="33.28515625" style="35" customWidth="1"/>
    <col min="3074" max="3074" width="20.5703125" style="35" customWidth="1"/>
    <col min="3075" max="3075" width="20" style="35" customWidth="1"/>
    <col min="3076" max="3076" width="20.140625" style="35" customWidth="1"/>
    <col min="3077" max="3077" width="22.140625" style="35" customWidth="1"/>
    <col min="3078" max="3078" width="28" style="35" customWidth="1"/>
    <col min="3079" max="3079" width="0" style="35" hidden="1" customWidth="1"/>
    <col min="3080" max="3328" width="11.42578125" style="35"/>
    <col min="3329" max="3329" width="33.28515625" style="35" customWidth="1"/>
    <col min="3330" max="3330" width="20.5703125" style="35" customWidth="1"/>
    <col min="3331" max="3331" width="20" style="35" customWidth="1"/>
    <col min="3332" max="3332" width="20.140625" style="35" customWidth="1"/>
    <col min="3333" max="3333" width="22.140625" style="35" customWidth="1"/>
    <col min="3334" max="3334" width="28" style="35" customWidth="1"/>
    <col min="3335" max="3335" width="0" style="35" hidden="1" customWidth="1"/>
    <col min="3336" max="3584" width="11.42578125" style="35"/>
    <col min="3585" max="3585" width="33.28515625" style="35" customWidth="1"/>
    <col min="3586" max="3586" width="20.5703125" style="35" customWidth="1"/>
    <col min="3587" max="3587" width="20" style="35" customWidth="1"/>
    <col min="3588" max="3588" width="20.140625" style="35" customWidth="1"/>
    <col min="3589" max="3589" width="22.140625" style="35" customWidth="1"/>
    <col min="3590" max="3590" width="28" style="35" customWidth="1"/>
    <col min="3591" max="3591" width="0" style="35" hidden="1" customWidth="1"/>
    <col min="3592" max="3840" width="11.42578125" style="35"/>
    <col min="3841" max="3841" width="33.28515625" style="35" customWidth="1"/>
    <col min="3842" max="3842" width="20.5703125" style="35" customWidth="1"/>
    <col min="3843" max="3843" width="20" style="35" customWidth="1"/>
    <col min="3844" max="3844" width="20.140625" style="35" customWidth="1"/>
    <col min="3845" max="3845" width="22.140625" style="35" customWidth="1"/>
    <col min="3846" max="3846" width="28" style="35" customWidth="1"/>
    <col min="3847" max="3847" width="0" style="35" hidden="1" customWidth="1"/>
    <col min="3848" max="4096" width="11.42578125" style="35"/>
    <col min="4097" max="4097" width="33.28515625" style="35" customWidth="1"/>
    <col min="4098" max="4098" width="20.5703125" style="35" customWidth="1"/>
    <col min="4099" max="4099" width="20" style="35" customWidth="1"/>
    <col min="4100" max="4100" width="20.140625" style="35" customWidth="1"/>
    <col min="4101" max="4101" width="22.140625" style="35" customWidth="1"/>
    <col min="4102" max="4102" width="28" style="35" customWidth="1"/>
    <col min="4103" max="4103" width="0" style="35" hidden="1" customWidth="1"/>
    <col min="4104" max="4352" width="11.42578125" style="35"/>
    <col min="4353" max="4353" width="33.28515625" style="35" customWidth="1"/>
    <col min="4354" max="4354" width="20.5703125" style="35" customWidth="1"/>
    <col min="4355" max="4355" width="20" style="35" customWidth="1"/>
    <col min="4356" max="4356" width="20.140625" style="35" customWidth="1"/>
    <col min="4357" max="4357" width="22.140625" style="35" customWidth="1"/>
    <col min="4358" max="4358" width="28" style="35" customWidth="1"/>
    <col min="4359" max="4359" width="0" style="35" hidden="1" customWidth="1"/>
    <col min="4360" max="4608" width="11.42578125" style="35"/>
    <col min="4609" max="4609" width="33.28515625" style="35" customWidth="1"/>
    <col min="4610" max="4610" width="20.5703125" style="35" customWidth="1"/>
    <col min="4611" max="4611" width="20" style="35" customWidth="1"/>
    <col min="4612" max="4612" width="20.140625" style="35" customWidth="1"/>
    <col min="4613" max="4613" width="22.140625" style="35" customWidth="1"/>
    <col min="4614" max="4614" width="28" style="35" customWidth="1"/>
    <col min="4615" max="4615" width="0" style="35" hidden="1" customWidth="1"/>
    <col min="4616" max="4864" width="11.42578125" style="35"/>
    <col min="4865" max="4865" width="33.28515625" style="35" customWidth="1"/>
    <col min="4866" max="4866" width="20.5703125" style="35" customWidth="1"/>
    <col min="4867" max="4867" width="20" style="35" customWidth="1"/>
    <col min="4868" max="4868" width="20.140625" style="35" customWidth="1"/>
    <col min="4869" max="4869" width="22.140625" style="35" customWidth="1"/>
    <col min="4870" max="4870" width="28" style="35" customWidth="1"/>
    <col min="4871" max="4871" width="0" style="35" hidden="1" customWidth="1"/>
    <col min="4872" max="5120" width="11.42578125" style="35"/>
    <col min="5121" max="5121" width="33.28515625" style="35" customWidth="1"/>
    <col min="5122" max="5122" width="20.5703125" style="35" customWidth="1"/>
    <col min="5123" max="5123" width="20" style="35" customWidth="1"/>
    <col min="5124" max="5124" width="20.140625" style="35" customWidth="1"/>
    <col min="5125" max="5125" width="22.140625" style="35" customWidth="1"/>
    <col min="5126" max="5126" width="28" style="35" customWidth="1"/>
    <col min="5127" max="5127" width="0" style="35" hidden="1" customWidth="1"/>
    <col min="5128" max="5376" width="11.42578125" style="35"/>
    <col min="5377" max="5377" width="33.28515625" style="35" customWidth="1"/>
    <col min="5378" max="5378" width="20.5703125" style="35" customWidth="1"/>
    <col min="5379" max="5379" width="20" style="35" customWidth="1"/>
    <col min="5380" max="5380" width="20.140625" style="35" customWidth="1"/>
    <col min="5381" max="5381" width="22.140625" style="35" customWidth="1"/>
    <col min="5382" max="5382" width="28" style="35" customWidth="1"/>
    <col min="5383" max="5383" width="0" style="35" hidden="1" customWidth="1"/>
    <col min="5384" max="5632" width="11.42578125" style="35"/>
    <col min="5633" max="5633" width="33.28515625" style="35" customWidth="1"/>
    <col min="5634" max="5634" width="20.5703125" style="35" customWidth="1"/>
    <col min="5635" max="5635" width="20" style="35" customWidth="1"/>
    <col min="5636" max="5636" width="20.140625" style="35" customWidth="1"/>
    <col min="5637" max="5637" width="22.140625" style="35" customWidth="1"/>
    <col min="5638" max="5638" width="28" style="35" customWidth="1"/>
    <col min="5639" max="5639" width="0" style="35" hidden="1" customWidth="1"/>
    <col min="5640" max="5888" width="11.42578125" style="35"/>
    <col min="5889" max="5889" width="33.28515625" style="35" customWidth="1"/>
    <col min="5890" max="5890" width="20.5703125" style="35" customWidth="1"/>
    <col min="5891" max="5891" width="20" style="35" customWidth="1"/>
    <col min="5892" max="5892" width="20.140625" style="35" customWidth="1"/>
    <col min="5893" max="5893" width="22.140625" style="35" customWidth="1"/>
    <col min="5894" max="5894" width="28" style="35" customWidth="1"/>
    <col min="5895" max="5895" width="0" style="35" hidden="1" customWidth="1"/>
    <col min="5896" max="6144" width="11.42578125" style="35"/>
    <col min="6145" max="6145" width="33.28515625" style="35" customWidth="1"/>
    <col min="6146" max="6146" width="20.5703125" style="35" customWidth="1"/>
    <col min="6147" max="6147" width="20" style="35" customWidth="1"/>
    <col min="6148" max="6148" width="20.140625" style="35" customWidth="1"/>
    <col min="6149" max="6149" width="22.140625" style="35" customWidth="1"/>
    <col min="6150" max="6150" width="28" style="35" customWidth="1"/>
    <col min="6151" max="6151" width="0" style="35" hidden="1" customWidth="1"/>
    <col min="6152" max="6400" width="11.42578125" style="35"/>
    <col min="6401" max="6401" width="33.28515625" style="35" customWidth="1"/>
    <col min="6402" max="6402" width="20.5703125" style="35" customWidth="1"/>
    <col min="6403" max="6403" width="20" style="35" customWidth="1"/>
    <col min="6404" max="6404" width="20.140625" style="35" customWidth="1"/>
    <col min="6405" max="6405" width="22.140625" style="35" customWidth="1"/>
    <col min="6406" max="6406" width="28" style="35" customWidth="1"/>
    <col min="6407" max="6407" width="0" style="35" hidden="1" customWidth="1"/>
    <col min="6408" max="6656" width="11.42578125" style="35"/>
    <col min="6657" max="6657" width="33.28515625" style="35" customWidth="1"/>
    <col min="6658" max="6658" width="20.5703125" style="35" customWidth="1"/>
    <col min="6659" max="6659" width="20" style="35" customWidth="1"/>
    <col min="6660" max="6660" width="20.140625" style="35" customWidth="1"/>
    <col min="6661" max="6661" width="22.140625" style="35" customWidth="1"/>
    <col min="6662" max="6662" width="28" style="35" customWidth="1"/>
    <col min="6663" max="6663" width="0" style="35" hidden="1" customWidth="1"/>
    <col min="6664" max="6912" width="11.42578125" style="35"/>
    <col min="6913" max="6913" width="33.28515625" style="35" customWidth="1"/>
    <col min="6914" max="6914" width="20.5703125" style="35" customWidth="1"/>
    <col min="6915" max="6915" width="20" style="35" customWidth="1"/>
    <col min="6916" max="6916" width="20.140625" style="35" customWidth="1"/>
    <col min="6917" max="6917" width="22.140625" style="35" customWidth="1"/>
    <col min="6918" max="6918" width="28" style="35" customWidth="1"/>
    <col min="6919" max="6919" width="0" style="35" hidden="1" customWidth="1"/>
    <col min="6920" max="7168" width="11.42578125" style="35"/>
    <col min="7169" max="7169" width="33.28515625" style="35" customWidth="1"/>
    <col min="7170" max="7170" width="20.5703125" style="35" customWidth="1"/>
    <col min="7171" max="7171" width="20" style="35" customWidth="1"/>
    <col min="7172" max="7172" width="20.140625" style="35" customWidth="1"/>
    <col min="7173" max="7173" width="22.140625" style="35" customWidth="1"/>
    <col min="7174" max="7174" width="28" style="35" customWidth="1"/>
    <col min="7175" max="7175" width="0" style="35" hidden="1" customWidth="1"/>
    <col min="7176" max="7424" width="11.42578125" style="35"/>
    <col min="7425" max="7425" width="33.28515625" style="35" customWidth="1"/>
    <col min="7426" max="7426" width="20.5703125" style="35" customWidth="1"/>
    <col min="7427" max="7427" width="20" style="35" customWidth="1"/>
    <col min="7428" max="7428" width="20.140625" style="35" customWidth="1"/>
    <col min="7429" max="7429" width="22.140625" style="35" customWidth="1"/>
    <col min="7430" max="7430" width="28" style="35" customWidth="1"/>
    <col min="7431" max="7431" width="0" style="35" hidden="1" customWidth="1"/>
    <col min="7432" max="7680" width="11.42578125" style="35"/>
    <col min="7681" max="7681" width="33.28515625" style="35" customWidth="1"/>
    <col min="7682" max="7682" width="20.5703125" style="35" customWidth="1"/>
    <col min="7683" max="7683" width="20" style="35" customWidth="1"/>
    <col min="7684" max="7684" width="20.140625" style="35" customWidth="1"/>
    <col min="7685" max="7685" width="22.140625" style="35" customWidth="1"/>
    <col min="7686" max="7686" width="28" style="35" customWidth="1"/>
    <col min="7687" max="7687" width="0" style="35" hidden="1" customWidth="1"/>
    <col min="7688" max="7936" width="11.42578125" style="35"/>
    <col min="7937" max="7937" width="33.28515625" style="35" customWidth="1"/>
    <col min="7938" max="7938" width="20.5703125" style="35" customWidth="1"/>
    <col min="7939" max="7939" width="20" style="35" customWidth="1"/>
    <col min="7940" max="7940" width="20.140625" style="35" customWidth="1"/>
    <col min="7941" max="7941" width="22.140625" style="35" customWidth="1"/>
    <col min="7942" max="7942" width="28" style="35" customWidth="1"/>
    <col min="7943" max="7943" width="0" style="35" hidden="1" customWidth="1"/>
    <col min="7944" max="8192" width="11.42578125" style="35"/>
    <col min="8193" max="8193" width="33.28515625" style="35" customWidth="1"/>
    <col min="8194" max="8194" width="20.5703125" style="35" customWidth="1"/>
    <col min="8195" max="8195" width="20" style="35" customWidth="1"/>
    <col min="8196" max="8196" width="20.140625" style="35" customWidth="1"/>
    <col min="8197" max="8197" width="22.140625" style="35" customWidth="1"/>
    <col min="8198" max="8198" width="28" style="35" customWidth="1"/>
    <col min="8199" max="8199" width="0" style="35" hidden="1" customWidth="1"/>
    <col min="8200" max="8448" width="11.42578125" style="35"/>
    <col min="8449" max="8449" width="33.28515625" style="35" customWidth="1"/>
    <col min="8450" max="8450" width="20.5703125" style="35" customWidth="1"/>
    <col min="8451" max="8451" width="20" style="35" customWidth="1"/>
    <col min="8452" max="8452" width="20.140625" style="35" customWidth="1"/>
    <col min="8453" max="8453" width="22.140625" style="35" customWidth="1"/>
    <col min="8454" max="8454" width="28" style="35" customWidth="1"/>
    <col min="8455" max="8455" width="0" style="35" hidden="1" customWidth="1"/>
    <col min="8456" max="8704" width="11.42578125" style="35"/>
    <col min="8705" max="8705" width="33.28515625" style="35" customWidth="1"/>
    <col min="8706" max="8706" width="20.5703125" style="35" customWidth="1"/>
    <col min="8707" max="8707" width="20" style="35" customWidth="1"/>
    <col min="8708" max="8708" width="20.140625" style="35" customWidth="1"/>
    <col min="8709" max="8709" width="22.140625" style="35" customWidth="1"/>
    <col min="8710" max="8710" width="28" style="35" customWidth="1"/>
    <col min="8711" max="8711" width="0" style="35" hidden="1" customWidth="1"/>
    <col min="8712" max="8960" width="11.42578125" style="35"/>
    <col min="8961" max="8961" width="33.28515625" style="35" customWidth="1"/>
    <col min="8962" max="8962" width="20.5703125" style="35" customWidth="1"/>
    <col min="8963" max="8963" width="20" style="35" customWidth="1"/>
    <col min="8964" max="8964" width="20.140625" style="35" customWidth="1"/>
    <col min="8965" max="8965" width="22.140625" style="35" customWidth="1"/>
    <col min="8966" max="8966" width="28" style="35" customWidth="1"/>
    <col min="8967" max="8967" width="0" style="35" hidden="1" customWidth="1"/>
    <col min="8968" max="9216" width="11.42578125" style="35"/>
    <col min="9217" max="9217" width="33.28515625" style="35" customWidth="1"/>
    <col min="9218" max="9218" width="20.5703125" style="35" customWidth="1"/>
    <col min="9219" max="9219" width="20" style="35" customWidth="1"/>
    <col min="9220" max="9220" width="20.140625" style="35" customWidth="1"/>
    <col min="9221" max="9221" width="22.140625" style="35" customWidth="1"/>
    <col min="9222" max="9222" width="28" style="35" customWidth="1"/>
    <col min="9223" max="9223" width="0" style="35" hidden="1" customWidth="1"/>
    <col min="9224" max="9472" width="11.42578125" style="35"/>
    <col min="9473" max="9473" width="33.28515625" style="35" customWidth="1"/>
    <col min="9474" max="9474" width="20.5703125" style="35" customWidth="1"/>
    <col min="9475" max="9475" width="20" style="35" customWidth="1"/>
    <col min="9476" max="9476" width="20.140625" style="35" customWidth="1"/>
    <col min="9477" max="9477" width="22.140625" style="35" customWidth="1"/>
    <col min="9478" max="9478" width="28" style="35" customWidth="1"/>
    <col min="9479" max="9479" width="0" style="35" hidden="1" customWidth="1"/>
    <col min="9480" max="9728" width="11.42578125" style="35"/>
    <col min="9729" max="9729" width="33.28515625" style="35" customWidth="1"/>
    <col min="9730" max="9730" width="20.5703125" style="35" customWidth="1"/>
    <col min="9731" max="9731" width="20" style="35" customWidth="1"/>
    <col min="9732" max="9732" width="20.140625" style="35" customWidth="1"/>
    <col min="9733" max="9733" width="22.140625" style="35" customWidth="1"/>
    <col min="9734" max="9734" width="28" style="35" customWidth="1"/>
    <col min="9735" max="9735" width="0" style="35" hidden="1" customWidth="1"/>
    <col min="9736" max="9984" width="11.42578125" style="35"/>
    <col min="9985" max="9985" width="33.28515625" style="35" customWidth="1"/>
    <col min="9986" max="9986" width="20.5703125" style="35" customWidth="1"/>
    <col min="9987" max="9987" width="20" style="35" customWidth="1"/>
    <col min="9988" max="9988" width="20.140625" style="35" customWidth="1"/>
    <col min="9989" max="9989" width="22.140625" style="35" customWidth="1"/>
    <col min="9990" max="9990" width="28" style="35" customWidth="1"/>
    <col min="9991" max="9991" width="0" style="35" hidden="1" customWidth="1"/>
    <col min="9992" max="10240" width="11.42578125" style="35"/>
    <col min="10241" max="10241" width="33.28515625" style="35" customWidth="1"/>
    <col min="10242" max="10242" width="20.5703125" style="35" customWidth="1"/>
    <col min="10243" max="10243" width="20" style="35" customWidth="1"/>
    <col min="10244" max="10244" width="20.140625" style="35" customWidth="1"/>
    <col min="10245" max="10245" width="22.140625" style="35" customWidth="1"/>
    <col min="10246" max="10246" width="28" style="35" customWidth="1"/>
    <col min="10247" max="10247" width="0" style="35" hidden="1" customWidth="1"/>
    <col min="10248" max="10496" width="11.42578125" style="35"/>
    <col min="10497" max="10497" width="33.28515625" style="35" customWidth="1"/>
    <col min="10498" max="10498" width="20.5703125" style="35" customWidth="1"/>
    <col min="10499" max="10499" width="20" style="35" customWidth="1"/>
    <col min="10500" max="10500" width="20.140625" style="35" customWidth="1"/>
    <col min="10501" max="10501" width="22.140625" style="35" customWidth="1"/>
    <col min="10502" max="10502" width="28" style="35" customWidth="1"/>
    <col min="10503" max="10503" width="0" style="35" hidden="1" customWidth="1"/>
    <col min="10504" max="10752" width="11.42578125" style="35"/>
    <col min="10753" max="10753" width="33.28515625" style="35" customWidth="1"/>
    <col min="10754" max="10754" width="20.5703125" style="35" customWidth="1"/>
    <col min="10755" max="10755" width="20" style="35" customWidth="1"/>
    <col min="10756" max="10756" width="20.140625" style="35" customWidth="1"/>
    <col min="10757" max="10757" width="22.140625" style="35" customWidth="1"/>
    <col min="10758" max="10758" width="28" style="35" customWidth="1"/>
    <col min="10759" max="10759" width="0" style="35" hidden="1" customWidth="1"/>
    <col min="10760" max="11008" width="11.42578125" style="35"/>
    <col min="11009" max="11009" width="33.28515625" style="35" customWidth="1"/>
    <col min="11010" max="11010" width="20.5703125" style="35" customWidth="1"/>
    <col min="11011" max="11011" width="20" style="35" customWidth="1"/>
    <col min="11012" max="11012" width="20.140625" style="35" customWidth="1"/>
    <col min="11013" max="11013" width="22.140625" style="35" customWidth="1"/>
    <col min="11014" max="11014" width="28" style="35" customWidth="1"/>
    <col min="11015" max="11015" width="0" style="35" hidden="1" customWidth="1"/>
    <col min="11016" max="11264" width="11.42578125" style="35"/>
    <col min="11265" max="11265" width="33.28515625" style="35" customWidth="1"/>
    <col min="11266" max="11266" width="20.5703125" style="35" customWidth="1"/>
    <col min="11267" max="11267" width="20" style="35" customWidth="1"/>
    <col min="11268" max="11268" width="20.140625" style="35" customWidth="1"/>
    <col min="11269" max="11269" width="22.140625" style="35" customWidth="1"/>
    <col min="11270" max="11270" width="28" style="35" customWidth="1"/>
    <col min="11271" max="11271" width="0" style="35" hidden="1" customWidth="1"/>
    <col min="11272" max="11520" width="11.42578125" style="35"/>
    <col min="11521" max="11521" width="33.28515625" style="35" customWidth="1"/>
    <col min="11522" max="11522" width="20.5703125" style="35" customWidth="1"/>
    <col min="11523" max="11523" width="20" style="35" customWidth="1"/>
    <col min="11524" max="11524" width="20.140625" style="35" customWidth="1"/>
    <col min="11525" max="11525" width="22.140625" style="35" customWidth="1"/>
    <col min="11526" max="11526" width="28" style="35" customWidth="1"/>
    <col min="11527" max="11527" width="0" style="35" hidden="1" customWidth="1"/>
    <col min="11528" max="11776" width="11.42578125" style="35"/>
    <col min="11777" max="11777" width="33.28515625" style="35" customWidth="1"/>
    <col min="11778" max="11778" width="20.5703125" style="35" customWidth="1"/>
    <col min="11779" max="11779" width="20" style="35" customWidth="1"/>
    <col min="11780" max="11780" width="20.140625" style="35" customWidth="1"/>
    <col min="11781" max="11781" width="22.140625" style="35" customWidth="1"/>
    <col min="11782" max="11782" width="28" style="35" customWidth="1"/>
    <col min="11783" max="11783" width="0" style="35" hidden="1" customWidth="1"/>
    <col min="11784" max="12032" width="11.42578125" style="35"/>
    <col min="12033" max="12033" width="33.28515625" style="35" customWidth="1"/>
    <col min="12034" max="12034" width="20.5703125" style="35" customWidth="1"/>
    <col min="12035" max="12035" width="20" style="35" customWidth="1"/>
    <col min="12036" max="12036" width="20.140625" style="35" customWidth="1"/>
    <col min="12037" max="12037" width="22.140625" style="35" customWidth="1"/>
    <col min="12038" max="12038" width="28" style="35" customWidth="1"/>
    <col min="12039" max="12039" width="0" style="35" hidden="1" customWidth="1"/>
    <col min="12040" max="12288" width="11.42578125" style="35"/>
    <col min="12289" max="12289" width="33.28515625" style="35" customWidth="1"/>
    <col min="12290" max="12290" width="20.5703125" style="35" customWidth="1"/>
    <col min="12291" max="12291" width="20" style="35" customWidth="1"/>
    <col min="12292" max="12292" width="20.140625" style="35" customWidth="1"/>
    <col min="12293" max="12293" width="22.140625" style="35" customWidth="1"/>
    <col min="12294" max="12294" width="28" style="35" customWidth="1"/>
    <col min="12295" max="12295" width="0" style="35" hidden="1" customWidth="1"/>
    <col min="12296" max="12544" width="11.42578125" style="35"/>
    <col min="12545" max="12545" width="33.28515625" style="35" customWidth="1"/>
    <col min="12546" max="12546" width="20.5703125" style="35" customWidth="1"/>
    <col min="12547" max="12547" width="20" style="35" customWidth="1"/>
    <col min="12548" max="12548" width="20.140625" style="35" customWidth="1"/>
    <col min="12549" max="12549" width="22.140625" style="35" customWidth="1"/>
    <col min="12550" max="12550" width="28" style="35" customWidth="1"/>
    <col min="12551" max="12551" width="0" style="35" hidden="1" customWidth="1"/>
    <col min="12552" max="12800" width="11.42578125" style="35"/>
    <col min="12801" max="12801" width="33.28515625" style="35" customWidth="1"/>
    <col min="12802" max="12802" width="20.5703125" style="35" customWidth="1"/>
    <col min="12803" max="12803" width="20" style="35" customWidth="1"/>
    <col min="12804" max="12804" width="20.140625" style="35" customWidth="1"/>
    <col min="12805" max="12805" width="22.140625" style="35" customWidth="1"/>
    <col min="12806" max="12806" width="28" style="35" customWidth="1"/>
    <col min="12807" max="12807" width="0" style="35" hidden="1" customWidth="1"/>
    <col min="12808" max="13056" width="11.42578125" style="35"/>
    <col min="13057" max="13057" width="33.28515625" style="35" customWidth="1"/>
    <col min="13058" max="13058" width="20.5703125" style="35" customWidth="1"/>
    <col min="13059" max="13059" width="20" style="35" customWidth="1"/>
    <col min="13060" max="13060" width="20.140625" style="35" customWidth="1"/>
    <col min="13061" max="13061" width="22.140625" style="35" customWidth="1"/>
    <col min="13062" max="13062" width="28" style="35" customWidth="1"/>
    <col min="13063" max="13063" width="0" style="35" hidden="1" customWidth="1"/>
    <col min="13064" max="13312" width="11.42578125" style="35"/>
    <col min="13313" max="13313" width="33.28515625" style="35" customWidth="1"/>
    <col min="13314" max="13314" width="20.5703125" style="35" customWidth="1"/>
    <col min="13315" max="13315" width="20" style="35" customWidth="1"/>
    <col min="13316" max="13316" width="20.140625" style="35" customWidth="1"/>
    <col min="13317" max="13317" width="22.140625" style="35" customWidth="1"/>
    <col min="13318" max="13318" width="28" style="35" customWidth="1"/>
    <col min="13319" max="13319" width="0" style="35" hidden="1" customWidth="1"/>
    <col min="13320" max="13568" width="11.42578125" style="35"/>
    <col min="13569" max="13569" width="33.28515625" style="35" customWidth="1"/>
    <col min="13570" max="13570" width="20.5703125" style="35" customWidth="1"/>
    <col min="13571" max="13571" width="20" style="35" customWidth="1"/>
    <col min="13572" max="13572" width="20.140625" style="35" customWidth="1"/>
    <col min="13573" max="13573" width="22.140625" style="35" customWidth="1"/>
    <col min="13574" max="13574" width="28" style="35" customWidth="1"/>
    <col min="13575" max="13575" width="0" style="35" hidden="1" customWidth="1"/>
    <col min="13576" max="13824" width="11.42578125" style="35"/>
    <col min="13825" max="13825" width="33.28515625" style="35" customWidth="1"/>
    <col min="13826" max="13826" width="20.5703125" style="35" customWidth="1"/>
    <col min="13827" max="13827" width="20" style="35" customWidth="1"/>
    <col min="13828" max="13828" width="20.140625" style="35" customWidth="1"/>
    <col min="13829" max="13829" width="22.140625" style="35" customWidth="1"/>
    <col min="13830" max="13830" width="28" style="35" customWidth="1"/>
    <col min="13831" max="13831" width="0" style="35" hidden="1" customWidth="1"/>
    <col min="13832" max="14080" width="11.42578125" style="35"/>
    <col min="14081" max="14081" width="33.28515625" style="35" customWidth="1"/>
    <col min="14082" max="14082" width="20.5703125" style="35" customWidth="1"/>
    <col min="14083" max="14083" width="20" style="35" customWidth="1"/>
    <col min="14084" max="14084" width="20.140625" style="35" customWidth="1"/>
    <col min="14085" max="14085" width="22.140625" style="35" customWidth="1"/>
    <col min="14086" max="14086" width="28" style="35" customWidth="1"/>
    <col min="14087" max="14087" width="0" style="35" hidden="1" customWidth="1"/>
    <col min="14088" max="14336" width="11.42578125" style="35"/>
    <col min="14337" max="14337" width="33.28515625" style="35" customWidth="1"/>
    <col min="14338" max="14338" width="20.5703125" style="35" customWidth="1"/>
    <col min="14339" max="14339" width="20" style="35" customWidth="1"/>
    <col min="14340" max="14340" width="20.140625" style="35" customWidth="1"/>
    <col min="14341" max="14341" width="22.140625" style="35" customWidth="1"/>
    <col min="14342" max="14342" width="28" style="35" customWidth="1"/>
    <col min="14343" max="14343" width="0" style="35" hidden="1" customWidth="1"/>
    <col min="14344" max="14592" width="11.42578125" style="35"/>
    <col min="14593" max="14593" width="33.28515625" style="35" customWidth="1"/>
    <col min="14594" max="14594" width="20.5703125" style="35" customWidth="1"/>
    <col min="14595" max="14595" width="20" style="35" customWidth="1"/>
    <col min="14596" max="14596" width="20.140625" style="35" customWidth="1"/>
    <col min="14597" max="14597" width="22.140625" style="35" customWidth="1"/>
    <col min="14598" max="14598" width="28" style="35" customWidth="1"/>
    <col min="14599" max="14599" width="0" style="35" hidden="1" customWidth="1"/>
    <col min="14600" max="14848" width="11.42578125" style="35"/>
    <col min="14849" max="14849" width="33.28515625" style="35" customWidth="1"/>
    <col min="14850" max="14850" width="20.5703125" style="35" customWidth="1"/>
    <col min="14851" max="14851" width="20" style="35" customWidth="1"/>
    <col min="14852" max="14852" width="20.140625" style="35" customWidth="1"/>
    <col min="14853" max="14853" width="22.140625" style="35" customWidth="1"/>
    <col min="14854" max="14854" width="28" style="35" customWidth="1"/>
    <col min="14855" max="14855" width="0" style="35" hidden="1" customWidth="1"/>
    <col min="14856" max="15104" width="11.42578125" style="35"/>
    <col min="15105" max="15105" width="33.28515625" style="35" customWidth="1"/>
    <col min="15106" max="15106" width="20.5703125" style="35" customWidth="1"/>
    <col min="15107" max="15107" width="20" style="35" customWidth="1"/>
    <col min="15108" max="15108" width="20.140625" style="35" customWidth="1"/>
    <col min="15109" max="15109" width="22.140625" style="35" customWidth="1"/>
    <col min="15110" max="15110" width="28" style="35" customWidth="1"/>
    <col min="15111" max="15111" width="0" style="35" hidden="1" customWidth="1"/>
    <col min="15112" max="15360" width="11.42578125" style="35"/>
    <col min="15361" max="15361" width="33.28515625" style="35" customWidth="1"/>
    <col min="15362" max="15362" width="20.5703125" style="35" customWidth="1"/>
    <col min="15363" max="15363" width="20" style="35" customWidth="1"/>
    <col min="15364" max="15364" width="20.140625" style="35" customWidth="1"/>
    <col min="15365" max="15365" width="22.140625" style="35" customWidth="1"/>
    <col min="15366" max="15366" width="28" style="35" customWidth="1"/>
    <col min="15367" max="15367" width="0" style="35" hidden="1" customWidth="1"/>
    <col min="15368" max="15616" width="11.42578125" style="35"/>
    <col min="15617" max="15617" width="33.28515625" style="35" customWidth="1"/>
    <col min="15618" max="15618" width="20.5703125" style="35" customWidth="1"/>
    <col min="15619" max="15619" width="20" style="35" customWidth="1"/>
    <col min="15620" max="15620" width="20.140625" style="35" customWidth="1"/>
    <col min="15621" max="15621" width="22.140625" style="35" customWidth="1"/>
    <col min="15622" max="15622" width="28" style="35" customWidth="1"/>
    <col min="15623" max="15623" width="0" style="35" hidden="1" customWidth="1"/>
    <col min="15624" max="15872" width="11.42578125" style="35"/>
    <col min="15873" max="15873" width="33.28515625" style="35" customWidth="1"/>
    <col min="15874" max="15874" width="20.5703125" style="35" customWidth="1"/>
    <col min="15875" max="15875" width="20" style="35" customWidth="1"/>
    <col min="15876" max="15876" width="20.140625" style="35" customWidth="1"/>
    <col min="15877" max="15877" width="22.140625" style="35" customWidth="1"/>
    <col min="15878" max="15878" width="28" style="35" customWidth="1"/>
    <col min="15879" max="15879" width="0" style="35" hidden="1" customWidth="1"/>
    <col min="15880" max="16128" width="11.42578125" style="35"/>
    <col min="16129" max="16129" width="33.28515625" style="35" customWidth="1"/>
    <col min="16130" max="16130" width="20.5703125" style="35" customWidth="1"/>
    <col min="16131" max="16131" width="20" style="35" customWidth="1"/>
    <col min="16132" max="16132" width="20.140625" style="35" customWidth="1"/>
    <col min="16133" max="16133" width="22.140625" style="35" customWidth="1"/>
    <col min="16134" max="16134" width="28" style="35" customWidth="1"/>
    <col min="16135" max="16135" width="0" style="35" hidden="1" customWidth="1"/>
    <col min="16136" max="16384" width="11.42578125" style="35"/>
  </cols>
  <sheetData>
    <row r="1" spans="1:14" ht="18.75" customHeight="1" x14ac:dyDescent="0.25">
      <c r="A1" s="112" t="s">
        <v>8</v>
      </c>
      <c r="B1" s="112"/>
      <c r="C1" s="112"/>
      <c r="D1" s="112"/>
      <c r="E1" s="112"/>
      <c r="F1" s="112"/>
      <c r="G1" s="34"/>
      <c r="H1" s="34"/>
      <c r="I1" s="34"/>
      <c r="J1" s="34"/>
      <c r="K1" s="34"/>
      <c r="L1" s="34"/>
    </row>
    <row r="2" spans="1:14" s="38" customFormat="1" ht="18.75" x14ac:dyDescent="0.3">
      <c r="A2" s="112"/>
      <c r="B2" s="112"/>
      <c r="C2" s="112"/>
      <c r="D2" s="112"/>
      <c r="E2" s="112"/>
      <c r="F2" s="112"/>
      <c r="G2" s="36"/>
      <c r="H2" s="37"/>
      <c r="I2" s="37"/>
      <c r="J2" s="37"/>
      <c r="K2" s="37"/>
      <c r="L2" s="37"/>
    </row>
    <row r="3" spans="1:14" s="38" customFormat="1" ht="18.75" x14ac:dyDescent="0.3">
      <c r="A3" s="112"/>
      <c r="B3" s="112"/>
      <c r="C3" s="112"/>
      <c r="D3" s="112"/>
      <c r="E3" s="112"/>
      <c r="F3" s="112"/>
      <c r="G3" s="37"/>
      <c r="H3" s="37"/>
      <c r="I3" s="37"/>
      <c r="J3" s="37"/>
      <c r="K3" s="37"/>
      <c r="L3" s="37"/>
    </row>
    <row r="4" spans="1:14" s="40" customFormat="1" ht="15" customHeight="1" x14ac:dyDescent="0.25">
      <c r="A4" s="112"/>
      <c r="B4" s="112"/>
      <c r="C4" s="112"/>
      <c r="D4" s="112"/>
      <c r="E4" s="112"/>
      <c r="F4" s="112"/>
      <c r="G4" s="39"/>
      <c r="H4" s="39"/>
      <c r="I4" s="39"/>
      <c r="J4" s="39"/>
      <c r="K4" s="39"/>
      <c r="L4" s="39"/>
    </row>
    <row r="5" spans="1:14" ht="15" customHeight="1" x14ac:dyDescent="0.25">
      <c r="A5" s="112"/>
      <c r="B5" s="112"/>
      <c r="C5" s="112"/>
      <c r="D5" s="112"/>
      <c r="E5" s="112"/>
      <c r="F5" s="112"/>
      <c r="G5" s="34"/>
      <c r="H5" s="34"/>
      <c r="I5" s="34"/>
      <c r="J5" s="34"/>
      <c r="K5" s="34"/>
      <c r="L5" s="34"/>
    </row>
    <row r="6" spans="1:14" ht="14.25" customHeight="1" x14ac:dyDescent="0.25">
      <c r="A6" s="112"/>
      <c r="B6" s="112"/>
      <c r="C6" s="112"/>
      <c r="D6" s="112"/>
      <c r="E6" s="112"/>
      <c r="F6" s="112"/>
      <c r="G6" s="34"/>
      <c r="H6" s="34"/>
      <c r="I6" s="34"/>
      <c r="J6" s="34"/>
      <c r="K6" s="34"/>
      <c r="L6" s="34"/>
    </row>
    <row r="7" spans="1:14" ht="12" customHeight="1" x14ac:dyDescent="0.25">
      <c r="A7" s="113"/>
      <c r="B7" s="113"/>
      <c r="C7" s="113"/>
      <c r="D7" s="113"/>
      <c r="E7" s="113"/>
      <c r="F7" s="113"/>
      <c r="H7" s="34"/>
      <c r="I7" s="34"/>
      <c r="J7" s="34"/>
      <c r="K7" s="34"/>
      <c r="L7" s="34"/>
    </row>
    <row r="8" spans="1:14" x14ac:dyDescent="0.25">
      <c r="A8" s="119" t="s">
        <v>30</v>
      </c>
      <c r="B8" s="119" t="s">
        <v>31</v>
      </c>
      <c r="C8" s="119"/>
      <c r="D8" s="119" t="s">
        <v>32</v>
      </c>
      <c r="E8" s="119"/>
      <c r="F8" s="119" t="s">
        <v>33</v>
      </c>
      <c r="G8" s="119" t="s">
        <v>34</v>
      </c>
      <c r="H8" s="34"/>
      <c r="I8" s="34"/>
      <c r="J8" s="34"/>
      <c r="K8" s="34"/>
      <c r="L8" s="34"/>
      <c r="M8" s="34"/>
      <c r="N8" s="34"/>
    </row>
    <row r="9" spans="1:14" x14ac:dyDescent="0.25">
      <c r="A9" s="119"/>
      <c r="B9" s="41" t="s">
        <v>35</v>
      </c>
      <c r="C9" s="41" t="s">
        <v>36</v>
      </c>
      <c r="D9" s="41" t="s">
        <v>37</v>
      </c>
      <c r="E9" s="41" t="s">
        <v>38</v>
      </c>
      <c r="F9" s="119"/>
      <c r="G9" s="119"/>
      <c r="H9" s="34"/>
      <c r="I9" s="34"/>
      <c r="J9" s="34"/>
      <c r="K9" s="34"/>
      <c r="L9" s="34"/>
    </row>
    <row r="10" spans="1:14" x14ac:dyDescent="0.25">
      <c r="A10" s="42" t="s">
        <v>39</v>
      </c>
      <c r="B10" s="67" t="s">
        <v>9</v>
      </c>
      <c r="C10" s="68" t="s">
        <v>9</v>
      </c>
      <c r="D10" s="68" t="s">
        <v>9</v>
      </c>
      <c r="E10" s="68" t="s">
        <v>9</v>
      </c>
      <c r="F10" s="69" t="s">
        <v>9</v>
      </c>
      <c r="G10" s="43" t="s">
        <v>9</v>
      </c>
      <c r="H10" s="34"/>
      <c r="I10" s="34"/>
      <c r="J10" s="34"/>
      <c r="K10" s="34"/>
      <c r="L10" s="34"/>
    </row>
    <row r="11" spans="1:14" x14ac:dyDescent="0.25">
      <c r="A11" s="42" t="s">
        <v>40</v>
      </c>
      <c r="B11" s="70" t="s">
        <v>9</v>
      </c>
      <c r="C11" s="71" t="s">
        <v>9</v>
      </c>
      <c r="D11" s="71" t="s">
        <v>9</v>
      </c>
      <c r="E11" s="71" t="s">
        <v>9</v>
      </c>
      <c r="F11" s="72" t="s">
        <v>9</v>
      </c>
      <c r="G11" s="43" t="s">
        <v>9</v>
      </c>
      <c r="H11" s="34"/>
      <c r="I11" s="34"/>
      <c r="J11" s="34"/>
      <c r="K11" s="34"/>
      <c r="L11" s="34"/>
    </row>
    <row r="12" spans="1:14" x14ac:dyDescent="0.25">
      <c r="A12" s="42" t="s">
        <v>41</v>
      </c>
      <c r="B12" s="70" t="s">
        <v>9</v>
      </c>
      <c r="C12" s="71" t="s">
        <v>9</v>
      </c>
      <c r="D12" s="71" t="s">
        <v>9</v>
      </c>
      <c r="E12" s="71" t="s">
        <v>9</v>
      </c>
      <c r="F12" s="73" t="s">
        <v>10</v>
      </c>
      <c r="G12" s="43" t="s">
        <v>9</v>
      </c>
      <c r="H12" s="34"/>
      <c r="I12" s="34"/>
      <c r="J12" s="34"/>
      <c r="K12" s="34"/>
      <c r="L12" s="34"/>
    </row>
    <row r="13" spans="1:14" x14ac:dyDescent="0.25">
      <c r="A13" s="42" t="s">
        <v>42</v>
      </c>
      <c r="B13" s="70" t="s">
        <v>9</v>
      </c>
      <c r="C13" s="71" t="s">
        <v>9</v>
      </c>
      <c r="D13" s="74" t="s">
        <v>10</v>
      </c>
      <c r="E13" s="71" t="s">
        <v>9</v>
      </c>
      <c r="F13" s="73" t="s">
        <v>10</v>
      </c>
      <c r="G13" s="43" t="s">
        <v>9</v>
      </c>
      <c r="H13" s="34"/>
      <c r="I13" s="34"/>
      <c r="J13" s="34"/>
      <c r="K13" s="34"/>
      <c r="L13" s="34"/>
    </row>
    <row r="14" spans="1:14" x14ac:dyDescent="0.25">
      <c r="A14" s="42" t="s">
        <v>43</v>
      </c>
      <c r="B14" s="70" t="s">
        <v>9</v>
      </c>
      <c r="C14" s="71" t="s">
        <v>9</v>
      </c>
      <c r="D14" s="74" t="s">
        <v>10</v>
      </c>
      <c r="E14" s="71" t="s">
        <v>9</v>
      </c>
      <c r="F14" s="73" t="s">
        <v>10</v>
      </c>
      <c r="G14" s="43" t="s">
        <v>9</v>
      </c>
      <c r="H14" s="34"/>
      <c r="I14" s="34"/>
      <c r="J14" s="34"/>
      <c r="K14" s="34"/>
      <c r="L14" s="34"/>
    </row>
    <row r="15" spans="1:14" x14ac:dyDescent="0.25">
      <c r="A15" s="44" t="s">
        <v>44</v>
      </c>
      <c r="B15" s="75" t="s">
        <v>12</v>
      </c>
      <c r="C15" s="71" t="s">
        <v>9</v>
      </c>
      <c r="D15" s="74" t="s">
        <v>10</v>
      </c>
      <c r="E15" s="74" t="s">
        <v>10</v>
      </c>
      <c r="F15" s="73" t="s">
        <v>10</v>
      </c>
      <c r="G15" s="43" t="s">
        <v>9</v>
      </c>
      <c r="H15" s="34"/>
      <c r="I15" s="34"/>
      <c r="J15" s="34"/>
      <c r="K15" s="34"/>
      <c r="L15" s="34"/>
    </row>
    <row r="16" spans="1:14" x14ac:dyDescent="0.25">
      <c r="A16" s="42" t="s">
        <v>45</v>
      </c>
      <c r="B16" s="70" t="s">
        <v>9</v>
      </c>
      <c r="C16" s="71" t="s">
        <v>9</v>
      </c>
      <c r="D16" s="71" t="s">
        <v>9</v>
      </c>
      <c r="E16" s="71" t="s">
        <v>9</v>
      </c>
      <c r="F16" s="72" t="s">
        <v>9</v>
      </c>
      <c r="G16" s="43" t="s">
        <v>9</v>
      </c>
      <c r="H16" s="34"/>
      <c r="I16" s="34"/>
      <c r="J16" s="34"/>
      <c r="K16" s="34"/>
      <c r="L16" s="34"/>
    </row>
    <row r="17" spans="1:12" x14ac:dyDescent="0.25">
      <c r="A17" s="42" t="s">
        <v>46</v>
      </c>
      <c r="B17" s="70" t="s">
        <v>9</v>
      </c>
      <c r="C17" s="71" t="s">
        <v>9</v>
      </c>
      <c r="D17" s="74" t="s">
        <v>10</v>
      </c>
      <c r="E17" s="71" t="s">
        <v>9</v>
      </c>
      <c r="F17" s="73" t="s">
        <v>10</v>
      </c>
      <c r="G17" s="43" t="s">
        <v>9</v>
      </c>
      <c r="H17" s="34"/>
      <c r="I17" s="34"/>
      <c r="J17" s="34"/>
      <c r="K17" s="34"/>
      <c r="L17" s="34"/>
    </row>
    <row r="18" spans="1:12" x14ac:dyDescent="0.25">
      <c r="A18" s="42" t="s">
        <v>47</v>
      </c>
      <c r="B18" s="70" t="s">
        <v>9</v>
      </c>
      <c r="C18" s="71" t="s">
        <v>9</v>
      </c>
      <c r="D18" s="71" t="s">
        <v>9</v>
      </c>
      <c r="E18" s="71" t="s">
        <v>9</v>
      </c>
      <c r="F18" s="73" t="s">
        <v>11</v>
      </c>
      <c r="G18" s="43" t="s">
        <v>9</v>
      </c>
      <c r="H18" s="34"/>
      <c r="I18" s="34"/>
      <c r="J18" s="34"/>
      <c r="K18" s="34"/>
      <c r="L18" s="34"/>
    </row>
    <row r="19" spans="1:12" x14ac:dyDescent="0.25">
      <c r="A19" s="42" t="s">
        <v>48</v>
      </c>
      <c r="B19" s="70" t="s">
        <v>9</v>
      </c>
      <c r="C19" s="71" t="s">
        <v>9</v>
      </c>
      <c r="D19" s="71" t="s">
        <v>9</v>
      </c>
      <c r="E19" s="71" t="s">
        <v>9</v>
      </c>
      <c r="F19" s="72" t="s">
        <v>9</v>
      </c>
      <c r="G19" s="43" t="s">
        <v>9</v>
      </c>
      <c r="H19" s="34"/>
      <c r="I19" s="34"/>
      <c r="J19" s="34"/>
      <c r="K19" s="34"/>
      <c r="L19" s="34"/>
    </row>
    <row r="20" spans="1:12" x14ac:dyDescent="0.25">
      <c r="A20" s="42" t="s">
        <v>49</v>
      </c>
      <c r="B20" s="70" t="s">
        <v>9</v>
      </c>
      <c r="C20" s="71" t="s">
        <v>9</v>
      </c>
      <c r="D20" s="71" t="s">
        <v>9</v>
      </c>
      <c r="E20" s="71" t="s">
        <v>9</v>
      </c>
      <c r="F20" s="72" t="s">
        <v>9</v>
      </c>
      <c r="G20" s="43" t="s">
        <v>9</v>
      </c>
      <c r="H20" s="34"/>
      <c r="I20" s="34"/>
      <c r="J20" s="34"/>
      <c r="K20" s="34"/>
      <c r="L20" s="34"/>
    </row>
    <row r="21" spans="1:12" x14ac:dyDescent="0.25">
      <c r="A21" s="42" t="s">
        <v>50</v>
      </c>
      <c r="B21" s="70" t="s">
        <v>9</v>
      </c>
      <c r="C21" s="71" t="s">
        <v>9</v>
      </c>
      <c r="D21" s="71" t="s">
        <v>9</v>
      </c>
      <c r="E21" s="71" t="s">
        <v>9</v>
      </c>
      <c r="F21" s="72" t="s">
        <v>9</v>
      </c>
      <c r="G21" s="43" t="s">
        <v>9</v>
      </c>
      <c r="H21" s="34"/>
      <c r="I21" s="34"/>
      <c r="J21" s="34"/>
      <c r="K21" s="34"/>
      <c r="L21" s="34"/>
    </row>
    <row r="22" spans="1:12" x14ac:dyDescent="0.25">
      <c r="A22" s="42" t="s">
        <v>51</v>
      </c>
      <c r="B22" s="70" t="s">
        <v>9</v>
      </c>
      <c r="C22" s="71" t="s">
        <v>9</v>
      </c>
      <c r="D22" s="71" t="s">
        <v>9</v>
      </c>
      <c r="E22" s="71" t="s">
        <v>9</v>
      </c>
      <c r="F22" s="72" t="s">
        <v>9</v>
      </c>
      <c r="G22" s="43" t="s">
        <v>9</v>
      </c>
      <c r="H22" s="34"/>
      <c r="I22" s="34"/>
      <c r="J22" s="34"/>
      <c r="K22" s="34"/>
      <c r="L22" s="34"/>
    </row>
    <row r="23" spans="1:12" x14ac:dyDescent="0.25">
      <c r="A23" s="42" t="s">
        <v>52</v>
      </c>
      <c r="B23" s="70" t="s">
        <v>9</v>
      </c>
      <c r="C23" s="71" t="s">
        <v>9</v>
      </c>
      <c r="D23" s="71" t="s">
        <v>9</v>
      </c>
      <c r="E23" s="71" t="s">
        <v>9</v>
      </c>
      <c r="F23" s="73" t="s">
        <v>10</v>
      </c>
      <c r="G23" s="43" t="s">
        <v>9</v>
      </c>
      <c r="H23" s="34"/>
      <c r="I23" s="34"/>
      <c r="J23" s="34"/>
      <c r="K23" s="34"/>
      <c r="L23" s="34"/>
    </row>
    <row r="24" spans="1:12" x14ac:dyDescent="0.25">
      <c r="A24" s="42" t="s">
        <v>53</v>
      </c>
      <c r="B24" s="70" t="s">
        <v>9</v>
      </c>
      <c r="C24" s="71" t="s">
        <v>9</v>
      </c>
      <c r="D24" s="71" t="s">
        <v>9</v>
      </c>
      <c r="E24" s="71" t="s">
        <v>9</v>
      </c>
      <c r="F24" s="72" t="s">
        <v>9</v>
      </c>
      <c r="G24" s="43" t="s">
        <v>9</v>
      </c>
      <c r="H24" s="34"/>
      <c r="I24" s="34"/>
      <c r="J24" s="34"/>
      <c r="K24" s="34"/>
      <c r="L24" s="34"/>
    </row>
    <row r="25" spans="1:12" x14ac:dyDescent="0.25">
      <c r="A25" s="42" t="s">
        <v>54</v>
      </c>
      <c r="B25" s="70" t="s">
        <v>9</v>
      </c>
      <c r="C25" s="71" t="s">
        <v>9</v>
      </c>
      <c r="D25" s="74" t="s">
        <v>10</v>
      </c>
      <c r="E25" s="71" t="s">
        <v>9</v>
      </c>
      <c r="F25" s="73" t="s">
        <v>10</v>
      </c>
      <c r="G25" s="43" t="s">
        <v>9</v>
      </c>
      <c r="H25" s="34"/>
      <c r="I25" s="34"/>
      <c r="J25" s="34"/>
      <c r="K25" s="34"/>
      <c r="L25" s="34"/>
    </row>
    <row r="26" spans="1:12" x14ac:dyDescent="0.25">
      <c r="A26" s="42" t="s">
        <v>55</v>
      </c>
      <c r="B26" s="70" t="s">
        <v>9</v>
      </c>
      <c r="C26" s="71" t="s">
        <v>9</v>
      </c>
      <c r="D26" s="71" t="s">
        <v>9</v>
      </c>
      <c r="E26" s="71" t="s">
        <v>9</v>
      </c>
      <c r="F26" s="72" t="s">
        <v>9</v>
      </c>
      <c r="G26" s="43" t="s">
        <v>9</v>
      </c>
      <c r="H26" s="34"/>
      <c r="I26" s="34"/>
      <c r="J26" s="34"/>
      <c r="K26" s="34"/>
      <c r="L26" s="34"/>
    </row>
    <row r="27" spans="1:12" x14ac:dyDescent="0.25">
      <c r="A27" s="42" t="s">
        <v>56</v>
      </c>
      <c r="B27" s="70" t="s">
        <v>9</v>
      </c>
      <c r="C27" s="71" t="s">
        <v>9</v>
      </c>
      <c r="D27" s="71" t="s">
        <v>9</v>
      </c>
      <c r="E27" s="71" t="s">
        <v>9</v>
      </c>
      <c r="F27" s="72" t="s">
        <v>9</v>
      </c>
      <c r="G27" s="43" t="s">
        <v>9</v>
      </c>
      <c r="H27" s="34"/>
      <c r="I27" s="34"/>
      <c r="J27" s="34"/>
      <c r="K27" s="34"/>
      <c r="L27" s="34"/>
    </row>
    <row r="28" spans="1:12" x14ac:dyDescent="0.25">
      <c r="A28" s="42" t="s">
        <v>57</v>
      </c>
      <c r="B28" s="70" t="s">
        <v>9</v>
      </c>
      <c r="C28" s="71" t="s">
        <v>9</v>
      </c>
      <c r="D28" s="74" t="s">
        <v>10</v>
      </c>
      <c r="E28" s="71" t="s">
        <v>9</v>
      </c>
      <c r="F28" s="73" t="s">
        <v>10</v>
      </c>
      <c r="G28" s="43" t="s">
        <v>9</v>
      </c>
      <c r="H28" s="34"/>
      <c r="I28" s="34"/>
      <c r="J28" s="34"/>
      <c r="K28" s="34"/>
      <c r="L28" s="34"/>
    </row>
    <row r="29" spans="1:12" x14ac:dyDescent="0.25">
      <c r="A29" s="42" t="s">
        <v>58</v>
      </c>
      <c r="B29" s="70" t="s">
        <v>9</v>
      </c>
      <c r="C29" s="71" t="s">
        <v>9</v>
      </c>
      <c r="D29" s="71" t="s">
        <v>9</v>
      </c>
      <c r="E29" s="71" t="s">
        <v>9</v>
      </c>
      <c r="F29" s="72" t="s">
        <v>9</v>
      </c>
      <c r="G29" s="43" t="s">
        <v>9</v>
      </c>
      <c r="H29" s="34"/>
      <c r="I29" s="34"/>
      <c r="J29" s="34"/>
      <c r="K29" s="34"/>
      <c r="L29" s="34"/>
    </row>
    <row r="30" spans="1:12" x14ac:dyDescent="0.25">
      <c r="A30" s="42" t="s">
        <v>59</v>
      </c>
      <c r="B30" s="70" t="s">
        <v>9</v>
      </c>
      <c r="C30" s="71" t="s">
        <v>9</v>
      </c>
      <c r="D30" s="71" t="s">
        <v>9</v>
      </c>
      <c r="E30" s="71" t="s">
        <v>9</v>
      </c>
      <c r="F30" s="72" t="s">
        <v>9</v>
      </c>
      <c r="G30" s="43" t="s">
        <v>9</v>
      </c>
      <c r="H30" s="34"/>
      <c r="I30" s="34"/>
      <c r="J30" s="34"/>
      <c r="K30" s="34"/>
      <c r="L30" s="34"/>
    </row>
    <row r="31" spans="1:12" x14ac:dyDescent="0.25">
      <c r="A31" s="42" t="s">
        <v>60</v>
      </c>
      <c r="B31" s="70" t="s">
        <v>9</v>
      </c>
      <c r="C31" s="71" t="s">
        <v>9</v>
      </c>
      <c r="D31" s="71" t="s">
        <v>9</v>
      </c>
      <c r="E31" s="71" t="s">
        <v>9</v>
      </c>
      <c r="F31" s="72" t="s">
        <v>9</v>
      </c>
      <c r="G31" s="43" t="s">
        <v>9</v>
      </c>
      <c r="H31" s="34"/>
      <c r="I31" s="34"/>
      <c r="J31" s="34"/>
      <c r="K31" s="34"/>
      <c r="L31" s="34"/>
    </row>
    <row r="32" spans="1:12" x14ac:dyDescent="0.25">
      <c r="A32" s="42" t="s">
        <v>61</v>
      </c>
      <c r="B32" s="76" t="s">
        <v>9</v>
      </c>
      <c r="C32" s="77" t="s">
        <v>9</v>
      </c>
      <c r="D32" s="78" t="s">
        <v>10</v>
      </c>
      <c r="E32" s="77" t="s">
        <v>9</v>
      </c>
      <c r="F32" s="79" t="s">
        <v>10</v>
      </c>
      <c r="G32" s="43" t="s">
        <v>9</v>
      </c>
      <c r="H32" s="34"/>
      <c r="I32" s="34"/>
      <c r="J32" s="34"/>
      <c r="K32" s="34"/>
      <c r="L32" s="34"/>
    </row>
    <row r="33" spans="1:12" ht="21.75" customHeight="1" x14ac:dyDescent="0.25">
      <c r="A33" s="45" t="s">
        <v>62</v>
      </c>
      <c r="B33" s="46"/>
      <c r="C33" s="46"/>
      <c r="D33" s="47"/>
      <c r="E33" s="46"/>
      <c r="F33" s="47"/>
      <c r="G33" s="46"/>
      <c r="H33" s="34"/>
      <c r="I33" s="34"/>
      <c r="J33" s="34"/>
      <c r="K33" s="34"/>
      <c r="L33" s="34"/>
    </row>
    <row r="34" spans="1:12" ht="6.95" customHeight="1" x14ac:dyDescent="0.25">
      <c r="B34" s="46"/>
      <c r="C34" s="46"/>
      <c r="D34" s="47"/>
      <c r="E34" s="46"/>
      <c r="F34" s="47"/>
      <c r="G34" s="46"/>
      <c r="H34" s="34"/>
      <c r="I34" s="34"/>
      <c r="J34" s="34"/>
      <c r="K34" s="34"/>
      <c r="L34" s="34"/>
    </row>
    <row r="35" spans="1:12" x14ac:dyDescent="0.25">
      <c r="A35" s="48" t="s">
        <v>63</v>
      </c>
      <c r="B35" s="46"/>
      <c r="C35" s="46"/>
      <c r="D35" s="47"/>
      <c r="E35" s="46"/>
      <c r="F35" s="47"/>
      <c r="G35" s="46"/>
      <c r="H35" s="34"/>
      <c r="I35" s="34"/>
      <c r="J35" s="34"/>
      <c r="K35" s="34"/>
      <c r="L35" s="34"/>
    </row>
    <row r="36" spans="1:12" ht="46.5" customHeight="1" x14ac:dyDescent="0.25">
      <c r="A36" s="114" t="s">
        <v>64</v>
      </c>
      <c r="B36" s="114"/>
      <c r="C36" s="114"/>
      <c r="D36" s="114"/>
      <c r="E36" s="114"/>
      <c r="F36" s="114"/>
      <c r="G36" s="49"/>
      <c r="H36" s="34"/>
      <c r="I36" s="34"/>
      <c r="J36" s="34"/>
      <c r="K36" s="34"/>
      <c r="L36" s="34"/>
    </row>
    <row r="37" spans="1:12" ht="27.75" customHeight="1" x14ac:dyDescent="0.25">
      <c r="A37" s="114" t="s">
        <v>65</v>
      </c>
      <c r="B37" s="115"/>
      <c r="C37" s="115"/>
      <c r="D37" s="115"/>
      <c r="E37" s="115"/>
      <c r="F37" s="115"/>
      <c r="G37" s="115"/>
      <c r="H37" s="34"/>
      <c r="I37" s="34"/>
      <c r="J37" s="34"/>
      <c r="K37" s="34"/>
      <c r="L37" s="34"/>
    </row>
    <row r="38" spans="1:12" ht="6.95" customHeight="1" thickBot="1" x14ac:dyDescent="0.3">
      <c r="A38" s="50"/>
      <c r="B38" s="51"/>
      <c r="C38" s="51"/>
      <c r="D38" s="51"/>
      <c r="E38" s="51"/>
      <c r="F38" s="51"/>
      <c r="G38" s="49"/>
      <c r="H38" s="34"/>
      <c r="I38" s="34"/>
      <c r="J38" s="34"/>
      <c r="K38" s="34"/>
      <c r="L38" s="34"/>
    </row>
    <row r="39" spans="1:12" x14ac:dyDescent="0.25">
      <c r="A39" s="33" t="s">
        <v>29</v>
      </c>
      <c r="B39" s="52"/>
      <c r="C39" s="52"/>
      <c r="D39" s="52"/>
      <c r="E39" s="52"/>
      <c r="F39" s="52"/>
      <c r="G39" s="49"/>
      <c r="H39" s="34"/>
      <c r="I39" s="34"/>
      <c r="J39" s="34"/>
      <c r="K39" s="34"/>
      <c r="L39" s="34"/>
    </row>
    <row r="40" spans="1:12" ht="15" customHeight="1" x14ac:dyDescent="0.25">
      <c r="A40" s="116"/>
      <c r="B40" s="117"/>
      <c r="C40" s="117"/>
      <c r="D40" s="117"/>
      <c r="E40" s="117"/>
      <c r="F40" s="117"/>
      <c r="G40" s="117"/>
      <c r="H40" s="34"/>
      <c r="I40" s="34"/>
      <c r="J40" s="34"/>
      <c r="K40" s="34"/>
      <c r="L40" s="34"/>
    </row>
    <row r="41" spans="1:12" x14ac:dyDescent="0.25">
      <c r="A41" s="53"/>
      <c r="B41" s="49"/>
      <c r="C41" s="49"/>
      <c r="D41" s="49"/>
      <c r="E41" s="49"/>
      <c r="F41" s="49"/>
      <c r="G41" s="49"/>
    </row>
    <row r="42" spans="1:12" ht="26.25" customHeight="1" x14ac:dyDescent="0.25"/>
    <row r="43" spans="1:12" x14ac:dyDescent="0.25">
      <c r="A43" s="53"/>
      <c r="B43" s="49"/>
      <c r="C43" s="49"/>
      <c r="D43" s="49"/>
      <c r="E43" s="49"/>
      <c r="F43" s="49"/>
      <c r="G43" s="49"/>
    </row>
    <row r="44" spans="1:12" ht="21" customHeight="1" x14ac:dyDescent="0.25">
      <c r="A44" s="116"/>
      <c r="B44" s="117"/>
      <c r="C44" s="117"/>
      <c r="D44" s="117"/>
      <c r="E44" s="117"/>
      <c r="F44" s="117"/>
      <c r="G44" s="117"/>
    </row>
    <row r="45" spans="1:12" x14ac:dyDescent="0.25">
      <c r="A45" s="53"/>
      <c r="B45" s="49"/>
      <c r="C45" s="49"/>
      <c r="D45" s="49"/>
      <c r="E45" s="49"/>
      <c r="F45" s="49"/>
      <c r="G45" s="49"/>
    </row>
    <row r="46" spans="1:12" ht="27.75" customHeight="1" x14ac:dyDescent="0.25">
      <c r="A46" s="116"/>
      <c r="B46" s="117"/>
      <c r="C46" s="117"/>
      <c r="D46" s="117"/>
      <c r="E46" s="117"/>
      <c r="F46" s="117"/>
      <c r="G46" s="117"/>
    </row>
    <row r="47" spans="1:12" ht="63.75" customHeight="1" x14ac:dyDescent="0.25">
      <c r="A47" s="118"/>
      <c r="B47" s="117"/>
      <c r="C47" s="117"/>
      <c r="D47" s="117"/>
      <c r="E47" s="117"/>
      <c r="F47" s="117"/>
      <c r="G47" s="117"/>
    </row>
  </sheetData>
  <mergeCells count="12">
    <mergeCell ref="A47:G47"/>
    <mergeCell ref="A8:A9"/>
    <mergeCell ref="B8:C8"/>
    <mergeCell ref="D8:E8"/>
    <mergeCell ref="F8:F9"/>
    <mergeCell ref="G8:G9"/>
    <mergeCell ref="A36:F36"/>
    <mergeCell ref="A1:F7"/>
    <mergeCell ref="A37:G37"/>
    <mergeCell ref="A40:G40"/>
    <mergeCell ref="A44:G44"/>
    <mergeCell ref="A46:G46"/>
  </mergeCells>
  <dataValidations disablePrompts="1" count="1">
    <dataValidation type="custom" errorStyle="warning" allowBlank="1" showInputMessage="1" showErrorMessage="1" errorTitle="error" error="warning" sqref="B39:F39" xr:uid="{00000000-0002-0000-0700-000000000000}">
      <formula1>"&gt;10"</formula1>
    </dataValidation>
  </dataValidations>
  <printOptions horizontalCentered="1" verticalCentered="1"/>
  <pageMargins left="0.59055118110236227" right="0.59055118110236227" top="0.39370078740157483" bottom="0.39370078740157483" header="0" footer="0"/>
  <pageSetup paperSize="9" scale="4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8</vt:i4>
      </vt:variant>
    </vt:vector>
  </HeadingPairs>
  <TitlesOfParts>
    <vt:vector size="16" baseType="lpstr">
      <vt:lpstr>IIBB</vt:lpstr>
      <vt:lpstr>INMOBILIARIO</vt:lpstr>
      <vt:lpstr>SELLOS</vt:lpstr>
      <vt:lpstr>AUTOMOTORES</vt:lpstr>
      <vt:lpstr>OTROS</vt:lpstr>
      <vt:lpstr>TOTAL</vt:lpstr>
      <vt:lpstr>Fuente-Metodología</vt:lpstr>
      <vt:lpstr>Potestades Tributarias</vt:lpstr>
      <vt:lpstr>AUTOMOTORES!Área_de_impresión</vt:lpstr>
      <vt:lpstr>'Fuente-Metodología'!Área_de_impresión</vt:lpstr>
      <vt:lpstr>IIBB!Área_de_impresión</vt:lpstr>
      <vt:lpstr>INMOBILIARIO!Área_de_impresión</vt:lpstr>
      <vt:lpstr>OTROS!Área_de_impresión</vt:lpstr>
      <vt:lpstr>'Potestades Tributarias'!Área_de_impresión</vt:lpstr>
      <vt:lpstr>SELLOS!Área_de_impresión</vt:lpstr>
      <vt:lpstr>TOTAL!Área_de_impresión</vt:lpstr>
    </vt:vector>
  </TitlesOfParts>
  <Company>MECON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Analia Valeria Fortes</dc:creator>
  <cp:lastModifiedBy>mpozzo</cp:lastModifiedBy>
  <cp:lastPrinted>2020-12-17T19:44:16Z</cp:lastPrinted>
  <dcterms:created xsi:type="dcterms:W3CDTF">2019-03-22T14:53:14Z</dcterms:created>
  <dcterms:modified xsi:type="dcterms:W3CDTF">2026-10-02T21:05:48Z</dcterms:modified>
</cp:coreProperties>
</file>