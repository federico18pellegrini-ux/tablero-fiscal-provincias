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DEUDA\Publicaciones Internet\deuda\stock\consolidado\2026\"/>
    </mc:Choice>
  </mc:AlternateContent>
  <xr:revisionPtr revIDLastSave="0" documentId="13_ncr:1_{D9FFC982-DCAB-4463-B21E-AD9C6875B70C}" xr6:coauthVersionLast="47" xr6:coauthVersionMax="47" xr10:uidLastSave="{00000000-0000-0000-0000-000000000000}"/>
  <bookViews>
    <workbookView xWindow="28680" yWindow="2490" windowWidth="24240" windowHeight="13140" xr2:uid="{92ACF8A1-2472-45CC-9A2D-A6C4A9659522}"/>
  </bookViews>
  <sheets>
    <sheet name="Jun-26 millones" sheetId="1" r:id="rId1"/>
  </sheets>
  <externalReferences>
    <externalReference r:id="rId2"/>
  </externalReferences>
  <definedNames>
    <definedName name="_xlnm.Print_Area" localSheetId="0">'Jun-26 millones'!$A$1:$I$45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7" i="1" l="1"/>
  <c r="H37" i="1"/>
  <c r="G37" i="1"/>
  <c r="F37" i="1"/>
  <c r="B37" i="1" s="1"/>
  <c r="E37" i="1"/>
  <c r="D37" i="1"/>
  <c r="C37" i="1"/>
  <c r="I36" i="1"/>
  <c r="H36" i="1"/>
  <c r="G36" i="1"/>
  <c r="F36" i="1"/>
  <c r="E36" i="1"/>
  <c r="D36" i="1"/>
  <c r="C36" i="1"/>
  <c r="B36" i="1"/>
  <c r="I35" i="1"/>
  <c r="H35" i="1"/>
  <c r="G35" i="1"/>
  <c r="F35" i="1"/>
  <c r="E35" i="1"/>
  <c r="D35" i="1"/>
  <c r="C35" i="1"/>
  <c r="B35" i="1"/>
  <c r="I34" i="1"/>
  <c r="H34" i="1"/>
  <c r="G34" i="1"/>
  <c r="F34" i="1"/>
  <c r="B34" i="1" s="1"/>
  <c r="E34" i="1"/>
  <c r="D34" i="1"/>
  <c r="C34" i="1"/>
  <c r="I33" i="1"/>
  <c r="H33" i="1"/>
  <c r="G33" i="1"/>
  <c r="F33" i="1"/>
  <c r="E33" i="1"/>
  <c r="D33" i="1"/>
  <c r="C33" i="1"/>
  <c r="B33" i="1"/>
  <c r="I32" i="1"/>
  <c r="H32" i="1"/>
  <c r="G32" i="1"/>
  <c r="F32" i="1"/>
  <c r="E32" i="1"/>
  <c r="D32" i="1"/>
  <c r="C32" i="1"/>
  <c r="B32" i="1"/>
  <c r="I31" i="1"/>
  <c r="H31" i="1"/>
  <c r="G31" i="1"/>
  <c r="F31" i="1"/>
  <c r="B31" i="1" s="1"/>
  <c r="E31" i="1"/>
  <c r="D31" i="1"/>
  <c r="C31" i="1"/>
  <c r="I30" i="1"/>
  <c r="H30" i="1"/>
  <c r="G30" i="1"/>
  <c r="F30" i="1"/>
  <c r="E30" i="1"/>
  <c r="D30" i="1"/>
  <c r="C30" i="1"/>
  <c r="B30" i="1"/>
  <c r="I29" i="1"/>
  <c r="H29" i="1"/>
  <c r="G29" i="1"/>
  <c r="F29" i="1"/>
  <c r="E29" i="1"/>
  <c r="D29" i="1"/>
  <c r="C29" i="1"/>
  <c r="B29" i="1"/>
  <c r="I28" i="1"/>
  <c r="H28" i="1"/>
  <c r="G28" i="1"/>
  <c r="F28" i="1"/>
  <c r="B28" i="1" s="1"/>
  <c r="E28" i="1"/>
  <c r="D28" i="1"/>
  <c r="C28" i="1"/>
  <c r="I27" i="1"/>
  <c r="H27" i="1"/>
  <c r="G27" i="1"/>
  <c r="F27" i="1"/>
  <c r="E27" i="1"/>
  <c r="D27" i="1"/>
  <c r="C27" i="1"/>
  <c r="B27" i="1"/>
  <c r="I26" i="1"/>
  <c r="H26" i="1"/>
  <c r="G26" i="1"/>
  <c r="F26" i="1"/>
  <c r="E26" i="1"/>
  <c r="D26" i="1"/>
  <c r="C26" i="1"/>
  <c r="B26" i="1"/>
  <c r="I25" i="1"/>
  <c r="H25" i="1"/>
  <c r="G25" i="1"/>
  <c r="F25" i="1"/>
  <c r="B25" i="1" s="1"/>
  <c r="E25" i="1"/>
  <c r="D25" i="1"/>
  <c r="C25" i="1"/>
  <c r="B24" i="1"/>
  <c r="I23" i="1"/>
  <c r="H23" i="1"/>
  <c r="G23" i="1"/>
  <c r="F23" i="1"/>
  <c r="E23" i="1"/>
  <c r="D23" i="1"/>
  <c r="C23" i="1"/>
  <c r="B23" i="1"/>
  <c r="I22" i="1"/>
  <c r="H22" i="1"/>
  <c r="G22" i="1"/>
  <c r="F22" i="1"/>
  <c r="B22" i="1" s="1"/>
  <c r="E22" i="1"/>
  <c r="D22" i="1"/>
  <c r="C22" i="1"/>
  <c r="I21" i="1"/>
  <c r="H21" i="1"/>
  <c r="G21" i="1"/>
  <c r="F21" i="1"/>
  <c r="E21" i="1"/>
  <c r="D21" i="1"/>
  <c r="C21" i="1"/>
  <c r="B21" i="1"/>
  <c r="I20" i="1"/>
  <c r="H20" i="1"/>
  <c r="G20" i="1"/>
  <c r="F20" i="1"/>
  <c r="E20" i="1"/>
  <c r="D20" i="1"/>
  <c r="C20" i="1"/>
  <c r="B20" i="1"/>
  <c r="I19" i="1"/>
  <c r="H19" i="1"/>
  <c r="G19" i="1"/>
  <c r="F19" i="1"/>
  <c r="E19" i="1"/>
  <c r="D19" i="1"/>
  <c r="C19" i="1"/>
  <c r="B19" i="1"/>
  <c r="I18" i="1"/>
  <c r="H18" i="1"/>
  <c r="G18" i="1"/>
  <c r="F18" i="1"/>
  <c r="E18" i="1"/>
  <c r="D18" i="1"/>
  <c r="C18" i="1"/>
  <c r="B18" i="1"/>
  <c r="I17" i="1"/>
  <c r="H17" i="1"/>
  <c r="G17" i="1"/>
  <c r="F17" i="1"/>
  <c r="E17" i="1"/>
  <c r="D17" i="1"/>
  <c r="C17" i="1"/>
  <c r="B17" i="1"/>
  <c r="I16" i="1"/>
  <c r="H16" i="1"/>
  <c r="G16" i="1"/>
  <c r="F16" i="1"/>
  <c r="E16" i="1"/>
  <c r="D16" i="1"/>
  <c r="C16" i="1"/>
  <c r="B16" i="1"/>
  <c r="I15" i="1"/>
  <c r="H15" i="1"/>
  <c r="G15" i="1"/>
  <c r="F15" i="1"/>
  <c r="E15" i="1"/>
  <c r="D15" i="1"/>
  <c r="C15" i="1"/>
  <c r="B15" i="1"/>
  <c r="I14" i="1"/>
  <c r="I13" i="1" s="1"/>
  <c r="H14" i="1"/>
  <c r="H13" i="1" s="1"/>
  <c r="G14" i="1"/>
  <c r="G13" i="1" s="1"/>
  <c r="F14" i="1"/>
  <c r="F13" i="1" s="1"/>
  <c r="E14" i="1"/>
  <c r="E13" i="1" s="1"/>
  <c r="D14" i="1"/>
  <c r="D13" i="1" s="1"/>
  <c r="C14" i="1"/>
  <c r="C13" i="1" s="1"/>
  <c r="B14" i="1"/>
  <c r="B13" i="1" l="1"/>
</calcChain>
</file>

<file path=xl/sharedStrings.xml><?xml version="1.0" encoding="utf-8"?>
<sst xmlns="http://schemas.openxmlformats.org/spreadsheetml/2006/main" count="40" uniqueCount="40">
  <si>
    <t>STOCK DE DEUDA PROVINCIAL AL 30 DE JUNIO DE 2026 (1)</t>
  </si>
  <si>
    <t>en millones de pesos</t>
  </si>
  <si>
    <t>Jurisdicción</t>
  </si>
  <si>
    <t>Total sin deuda flotante</t>
  </si>
  <si>
    <t>Gobierno Nacional</t>
  </si>
  <si>
    <t>FFFIR</t>
  </si>
  <si>
    <t>FFDP</t>
  </si>
  <si>
    <t>Bancos</t>
  </si>
  <si>
    <t>Deuda consolidada</t>
  </si>
  <si>
    <t>Bonos
(2)</t>
  </si>
  <si>
    <t>Organismos Internacionales</t>
  </si>
  <si>
    <t xml:space="preserve">TOTAL 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</si>
  <si>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</si>
  <si>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</si>
  <si>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</si>
  <si>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</si>
  <si>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</si>
  <si>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</si>
  <si>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</si>
  <si>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</si>
  <si>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CABA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</si>
  <si>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</si>
  <si>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</si>
  <si>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</si>
  <si>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</si>
  <si>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</si>
  <si>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</si>
  <si>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</si>
  <si>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</si>
  <si>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</si>
  <si>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</si>
  <si>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</si>
  <si>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Fé</t>
  </si>
  <si>
    <t>Santiago del Estero</t>
  </si>
  <si>
    <t>Tierra del Fuego</t>
  </si>
  <si>
    <t>Tucumán</t>
  </si>
  <si>
    <t>Notas:</t>
  </si>
  <si>
    <t>1).-Todos los datos son preliminares y se encuentran sujetos a revisión. No se incluye la Deuda Flotante ni Contingente.</t>
  </si>
  <si>
    <t>2).- Bonos expresados a Valor Residual.</t>
  </si>
  <si>
    <t>SUBSECRETARÍA DE COORDINACIÓN FISCAL PROVINCIAL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</si>
</sst>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 \-0;\ \-;\ @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252C4F"/>
      <name val="Roboto"/>
    </font>
    <font>
      <sz val="10"/>
      <name val="Roboto"/>
    </font>
    <font>
      <b/>
      <sz val="14"/>
      <name val="Roboto"/>
    </font>
    <font>
      <b/>
      <sz val="11"/>
      <color indexed="8"/>
      <name val="Roboto"/>
    </font>
    <font>
      <b/>
      <sz val="11"/>
      <color indexed="56"/>
      <name val="Roboto"/>
    </font>
    <font>
      <sz val="11"/>
      <color indexed="56"/>
      <name val="Roboto"/>
    </font>
    <font>
      <b/>
      <sz val="11"/>
      <color theme="0"/>
      <name val="Roboto"/>
    </font>
    <font>
      <b/>
      <sz val="11"/>
      <name val="Roboto"/>
    </font>
    <font>
      <sz val="11"/>
      <color indexed="8"/>
      <name val="Roboto"/>
    </font>
    <font>
      <b/>
      <i/>
      <sz val="8"/>
      <name val="Roboto"/>
    </font>
    <font>
      <b/>
      <sz val="8"/>
      <color indexed="8"/>
      <name val="Roboto"/>
    </font>
    <font>
      <sz val="10"/>
      <color indexed="56"/>
      <name val="Roboto"/>
    </font>
    <font>
      <b/>
      <u/>
      <sz val="11"/>
      <color indexed="8"/>
      <name val="Roboto"/>
    </font>
    <font>
      <sz val="11"/>
      <name val="Roboto"/>
    </font>
    <font>
      <sz val="8"/>
      <name val="Roboto"/>
    </font>
    <font>
      <b/>
      <sz val="10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52C4F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4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/>
    </xf>
    <xf numFmtId="3" fontId="7" fillId="2" borderId="0" xfId="1" applyNumberFormat="1" applyFont="1" applyFill="1" applyAlignment="1">
      <alignment horizontal="center"/>
    </xf>
    <xf numFmtId="0" fontId="3" fillId="2" borderId="0" xfId="1" applyFont="1" applyFill="1" applyAlignment="1">
      <alignment horizontal="center"/>
    </xf>
    <xf numFmtId="0" fontId="8" fillId="3" borderId="1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/>
    </xf>
    <xf numFmtId="164" fontId="9" fillId="4" borderId="2" xfId="2" applyNumberFormat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left"/>
    </xf>
    <xf numFmtId="164" fontId="10" fillId="2" borderId="4" xfId="1" applyNumberFormat="1" applyFont="1" applyFill="1" applyBorder="1" applyAlignment="1">
      <alignment horizontal="center" vertical="center"/>
    </xf>
    <xf numFmtId="3" fontId="3" fillId="2" borderId="0" xfId="1" applyNumberFormat="1" applyFont="1" applyFill="1"/>
    <xf numFmtId="0" fontId="11" fillId="2" borderId="0" xfId="1" applyFont="1" applyFill="1"/>
    <xf numFmtId="0" fontId="12" fillId="2" borderId="0" xfId="1" applyFont="1" applyFill="1" applyAlignment="1">
      <alignment horizontal="center"/>
    </xf>
    <xf numFmtId="3" fontId="13" fillId="2" borderId="0" xfId="1" applyNumberFormat="1" applyFont="1" applyFill="1"/>
    <xf numFmtId="0" fontId="14" fillId="2" borderId="0" xfId="1" applyFont="1" applyFill="1"/>
    <xf numFmtId="0" fontId="15" fillId="2" borderId="0" xfId="1" applyFont="1" applyFill="1"/>
    <xf numFmtId="0" fontId="16" fillId="2" borderId="0" xfId="1" applyFont="1" applyFill="1"/>
    <xf numFmtId="0" fontId="17" fillId="2" borderId="0" xfId="1" applyFont="1" applyFill="1" applyAlignment="1">
      <alignment horizontal="center"/>
    </xf>
    <xf numFmtId="0" fontId="3" fillId="2" borderId="5" xfId="1" applyFont="1" applyFill="1" applyBorder="1"/>
    <xf numFmtId="0" fontId="3" fillId="0" borderId="0" xfId="2" applyFont="1"/>
    <xf numFmtId="0" fontId="17" fillId="0" borderId="0" xfId="2" applyFont="1" applyAlignment="1">
      <alignment horizontal="left"/>
    </xf>
  </cellXfs>
  <cellStyles count="3">
    <cellStyle name="Normal" xfId="0" builtinId="0"/>
    <cellStyle name="Normal 2" xfId="1" xr:uid="{F01DE3AC-29B9-430D-9E72-61F785C7ABB5}"/>
    <cellStyle name="Normal_Hoja1" xfId="2" xr:uid="{8D1DDF8B-D81A-422E-A0A9-7DB246BE61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21216</xdr:colOff>
      <xdr:row>9</xdr:row>
      <xdr:rowOff>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41B56695-2ACC-42F4-A504-0212555AC57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0" y="161925"/>
          <a:ext cx="165951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NCFP/DEUDA/Publicaciones%20Internet/Informaci&#243;n%20Estad&#237;stica/Stock/Series%202026/Jun-26%20nuevo%20forma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-26"/>
      <sheetName val="Jun-26 millones"/>
    </sheetNames>
    <sheetDataSet>
      <sheetData sheetId="0">
        <row r="8">
          <cell r="C8">
            <v>0</v>
          </cell>
          <cell r="D8">
            <v>3025259.2083440614</v>
          </cell>
          <cell r="E8">
            <v>0</v>
          </cell>
          <cell r="F8">
            <v>80849331.897121266</v>
          </cell>
          <cell r="G8">
            <v>0</v>
          </cell>
          <cell r="H8">
            <v>14409370111.640348</v>
          </cell>
          <cell r="I8">
            <v>3457562755.4371471</v>
          </cell>
        </row>
        <row r="9">
          <cell r="C9">
            <v>10856546.768037416</v>
          </cell>
          <cell r="D9">
            <v>705322.85489067365</v>
          </cell>
          <cell r="E9">
            <v>0</v>
          </cell>
          <cell r="F9">
            <v>45000000</v>
          </cell>
          <cell r="G9">
            <v>0</v>
          </cell>
          <cell r="H9">
            <v>1693596.2035608336</v>
          </cell>
          <cell r="I9">
            <v>20361417.314999998</v>
          </cell>
        </row>
        <row r="10">
          <cell r="C10">
            <v>701695.97243628977</v>
          </cell>
          <cell r="D10">
            <v>1361913.83947</v>
          </cell>
          <cell r="E10">
            <v>0</v>
          </cell>
          <cell r="F10">
            <v>117869335.42072222</v>
          </cell>
          <cell r="G10">
            <v>0</v>
          </cell>
          <cell r="H10">
            <v>3709991130.3499312</v>
          </cell>
          <cell r="I10">
            <v>653445377.74153149</v>
          </cell>
        </row>
        <row r="11">
          <cell r="C11">
            <v>7906420.8814989347</v>
          </cell>
          <cell r="D11">
            <v>992830.90222199983</v>
          </cell>
          <cell r="E11">
            <v>0</v>
          </cell>
          <cell r="F11">
            <v>0</v>
          </cell>
          <cell r="G11">
            <v>20258.893599999999</v>
          </cell>
          <cell r="H11">
            <v>2285381.4100833335</v>
          </cell>
          <cell r="I11">
            <v>60396643.059830002</v>
          </cell>
        </row>
        <row r="12">
          <cell r="C12">
            <v>76010615.38666001</v>
          </cell>
          <cell r="D12">
            <v>15662103.588229999</v>
          </cell>
          <cell r="E12">
            <v>0</v>
          </cell>
          <cell r="F12">
            <v>47632994.643309183</v>
          </cell>
          <cell r="G12">
            <v>0</v>
          </cell>
          <cell r="H12">
            <v>295683985.41368687</v>
          </cell>
          <cell r="I12">
            <v>175205137.2622129</v>
          </cell>
        </row>
        <row r="13">
          <cell r="C13">
            <v>25449939.796698332</v>
          </cell>
          <cell r="D13">
            <v>441938.45224000007</v>
          </cell>
          <cell r="E13">
            <v>0</v>
          </cell>
          <cell r="F13">
            <v>0</v>
          </cell>
          <cell r="G13">
            <v>0</v>
          </cell>
          <cell r="H13">
            <v>1444364323.6182394</v>
          </cell>
          <cell r="I13">
            <v>30087740.464434344</v>
          </cell>
        </row>
        <row r="14">
          <cell r="C14">
            <v>400000</v>
          </cell>
          <cell r="D14">
            <v>17353283.148899887</v>
          </cell>
          <cell r="E14">
            <v>0</v>
          </cell>
          <cell r="F14">
            <v>43039706.563742064</v>
          </cell>
          <cell r="G14">
            <v>26778.49424</v>
          </cell>
          <cell r="H14">
            <v>624615867.65484047</v>
          </cell>
          <cell r="I14">
            <v>329580476.6688</v>
          </cell>
        </row>
        <row r="15">
          <cell r="C15">
            <v>4653699.1877668742</v>
          </cell>
          <cell r="D15">
            <v>12912194.150279999</v>
          </cell>
          <cell r="E15">
            <v>0</v>
          </cell>
          <cell r="F15">
            <v>0</v>
          </cell>
          <cell r="G15">
            <v>9389.4490000000005</v>
          </cell>
          <cell r="H15">
            <v>40576.670160000118</v>
          </cell>
          <cell r="I15">
            <v>13253528.08123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105322800</v>
          </cell>
          <cell r="G16">
            <v>0</v>
          </cell>
          <cell r="H16">
            <v>2129960869.7794125</v>
          </cell>
          <cell r="I16">
            <v>708583440</v>
          </cell>
        </row>
        <row r="17">
          <cell r="C17">
            <v>351048083.12138122</v>
          </cell>
          <cell r="D17">
            <v>0</v>
          </cell>
          <cell r="E17">
            <v>0</v>
          </cell>
          <cell r="F17">
            <v>124261346.5473612</v>
          </cell>
          <cell r="G17">
            <v>3249677.4</v>
          </cell>
          <cell r="H17">
            <v>73969861.709999993</v>
          </cell>
          <cell r="I17">
            <v>147728308.45999998</v>
          </cell>
        </row>
        <row r="19">
          <cell r="C19">
            <v>880004.69870833331</v>
          </cell>
          <cell r="D19">
            <v>16906330</v>
          </cell>
          <cell r="E19">
            <v>0</v>
          </cell>
          <cell r="F19">
            <v>18560</v>
          </cell>
          <cell r="G19">
            <v>84470</v>
          </cell>
          <cell r="H19">
            <v>541639421.08676875</v>
          </cell>
          <cell r="I19">
            <v>34140764</v>
          </cell>
        </row>
        <row r="20">
          <cell r="C20">
            <v>0</v>
          </cell>
          <cell r="D20">
            <v>2325480</v>
          </cell>
          <cell r="E20">
            <v>0</v>
          </cell>
          <cell r="F20">
            <v>53533050</v>
          </cell>
          <cell r="G20">
            <v>0</v>
          </cell>
          <cell r="H20">
            <v>944049090.00004482</v>
          </cell>
          <cell r="I20">
            <v>260403280.31167099</v>
          </cell>
        </row>
        <row r="21">
          <cell r="C21">
            <v>38935.850999999995</v>
          </cell>
          <cell r="D21">
            <v>1530300</v>
          </cell>
          <cell r="E21">
            <v>0</v>
          </cell>
          <cell r="F21">
            <v>18333329.999999996</v>
          </cell>
          <cell r="G21">
            <v>31010.309774972084</v>
          </cell>
          <cell r="H21">
            <v>77425083.583799616</v>
          </cell>
          <cell r="I21">
            <v>18263688</v>
          </cell>
        </row>
        <row r="22">
          <cell r="C22">
            <v>587521.35751419119</v>
          </cell>
          <cell r="D22">
            <v>87760901.950439498</v>
          </cell>
          <cell r="E22">
            <v>0</v>
          </cell>
          <cell r="F22">
            <v>65355276.419419035</v>
          </cell>
          <cell r="G22">
            <v>16798.93368468</v>
          </cell>
          <cell r="H22">
            <v>576468459.47952795</v>
          </cell>
          <cell r="I22">
            <v>300168009.74940002</v>
          </cell>
        </row>
        <row r="23">
          <cell r="C23">
            <v>0</v>
          </cell>
          <cell r="D23">
            <v>30532114</v>
          </cell>
          <cell r="E23">
            <v>0</v>
          </cell>
          <cell r="F23">
            <v>23226774</v>
          </cell>
          <cell r="G23">
            <v>0</v>
          </cell>
          <cell r="H23">
            <v>264382499.96785584</v>
          </cell>
          <cell r="I23">
            <v>99738174</v>
          </cell>
        </row>
        <row r="24">
          <cell r="C24">
            <v>0</v>
          </cell>
          <cell r="D24">
            <v>4854328.823372459</v>
          </cell>
          <cell r="E24">
            <v>0</v>
          </cell>
          <cell r="F24">
            <v>92349666.666672736</v>
          </cell>
          <cell r="G24">
            <v>38851244.668278709</v>
          </cell>
          <cell r="H24">
            <v>200843080.93297917</v>
          </cell>
          <cell r="I24">
            <v>101415089.17332</v>
          </cell>
        </row>
        <row r="25">
          <cell r="C25">
            <v>879985.55705952109</v>
          </cell>
          <cell r="D25">
            <v>25927564.495531213</v>
          </cell>
          <cell r="E25">
            <v>0</v>
          </cell>
          <cell r="F25">
            <v>0</v>
          </cell>
          <cell r="G25">
            <v>0</v>
          </cell>
          <cell r="H25">
            <v>2087598.1730358333</v>
          </cell>
          <cell r="I25">
            <v>264342458.25634053</v>
          </cell>
        </row>
        <row r="26">
          <cell r="C26">
            <v>211094.68343999999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C27">
            <v>41056433.175057203</v>
          </cell>
          <cell r="D27">
            <v>263189.31257000001</v>
          </cell>
          <cell r="F27">
            <v>0</v>
          </cell>
          <cell r="G27">
            <v>0</v>
          </cell>
          <cell r="H27">
            <v>1543819.8966666665</v>
          </cell>
          <cell r="I27">
            <v>0</v>
          </cell>
        </row>
        <row r="28">
          <cell r="C28">
            <v>0</v>
          </cell>
          <cell r="D28">
            <v>450800</v>
          </cell>
          <cell r="E28">
            <v>0</v>
          </cell>
          <cell r="F28">
            <v>7250000</v>
          </cell>
          <cell r="G28">
            <v>0</v>
          </cell>
          <cell r="H28">
            <v>1482612400</v>
          </cell>
          <cell r="I28">
            <v>469251900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19223017.621783804</v>
          </cell>
          <cell r="I29">
            <v>0</v>
          </cell>
        </row>
        <row r="30">
          <cell r="C30">
            <v>640688.00542343454</v>
          </cell>
          <cell r="D30">
            <v>2489450</v>
          </cell>
          <cell r="E30">
            <v>0</v>
          </cell>
          <cell r="F30">
            <v>0</v>
          </cell>
          <cell r="G30">
            <v>121862920</v>
          </cell>
          <cell r="H30">
            <v>115948385.23884749</v>
          </cell>
          <cell r="I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135190500</v>
          </cell>
          <cell r="G31">
            <v>12756.738509999997</v>
          </cell>
          <cell r="H31">
            <v>19296665.756570973</v>
          </cell>
          <cell r="I31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725A3-03CC-40CD-BC16-798B2EA3C90B}">
  <sheetPr>
    <pageSetUpPr fitToPage="1"/>
  </sheetPr>
  <dimension ref="A4:CR44"/>
  <sheetViews>
    <sheetView tabSelected="1" workbookViewId="0">
      <selection activeCell="L26" sqref="L26"/>
    </sheetView>
  </sheetViews>
  <sheetFormatPr baseColWidth="10" defaultColWidth="11.42578125" defaultRowHeight="12.75" x14ac:dyDescent="0.2"/>
  <cols>
    <col min="1" max="1" width="24.5703125" style="2" customWidth="1"/>
    <col min="2" max="4" width="19.5703125" style="2" customWidth="1"/>
    <col min="5" max="5" width="19.5703125" style="2" hidden="1" customWidth="1"/>
    <col min="6" max="8" width="19.5703125" style="2" customWidth="1"/>
    <col min="9" max="9" width="21.85546875" style="2" customWidth="1"/>
    <col min="10" max="16384" width="11.42578125" style="2"/>
  </cols>
  <sheetData>
    <row r="4" spans="1:12" x14ac:dyDescent="0.2">
      <c r="A4" s="1"/>
      <c r="B4" s="1"/>
      <c r="C4" s="1"/>
      <c r="D4" s="1"/>
      <c r="E4" s="1"/>
      <c r="F4" s="1"/>
      <c r="G4" s="1"/>
      <c r="H4" s="1"/>
      <c r="I4" s="1"/>
    </row>
    <row r="9" spans="1:12" ht="18.75" x14ac:dyDescent="0.2">
      <c r="A9" s="3" t="s">
        <v>0</v>
      </c>
      <c r="B9" s="3"/>
      <c r="C9" s="3"/>
      <c r="D9" s="3"/>
      <c r="E9" s="3"/>
      <c r="F9" s="3"/>
      <c r="G9" s="3"/>
      <c r="H9" s="3"/>
      <c r="I9" s="3"/>
      <c r="K9" s="4"/>
      <c r="L9" s="4"/>
    </row>
    <row r="10" spans="1:12" ht="15" x14ac:dyDescent="0.25">
      <c r="A10" s="5" t="s">
        <v>1</v>
      </c>
      <c r="B10" s="5"/>
      <c r="C10" s="5"/>
      <c r="D10" s="5"/>
      <c r="E10" s="5"/>
      <c r="F10" s="5"/>
      <c r="G10" s="5"/>
      <c r="H10" s="5"/>
      <c r="I10" s="5"/>
      <c r="K10" s="4"/>
      <c r="L10" s="4"/>
    </row>
    <row r="11" spans="1:12" s="8" customFormat="1" ht="15" x14ac:dyDescent="0.25">
      <c r="A11" s="6"/>
      <c r="B11" s="7"/>
      <c r="C11" s="7"/>
      <c r="D11" s="7"/>
      <c r="E11" s="7"/>
      <c r="F11" s="7"/>
      <c r="G11" s="7"/>
      <c r="H11" s="7"/>
      <c r="I11" s="7"/>
    </row>
    <row r="12" spans="1:12" ht="30" x14ac:dyDescent="0.2">
      <c r="A12" s="9" t="s">
        <v>2</v>
      </c>
      <c r="B12" s="9" t="s">
        <v>3</v>
      </c>
      <c r="C12" s="9" t="s">
        <v>4</v>
      </c>
      <c r="D12" s="9" t="s">
        <v>5</v>
      </c>
      <c r="E12" s="9" t="s">
        <v>6</v>
      </c>
      <c r="F12" s="9" t="s">
        <v>7</v>
      </c>
      <c r="G12" s="9" t="s">
        <v>8</v>
      </c>
      <c r="H12" s="9" t="s">
        <v>9</v>
      </c>
      <c r="I12" s="9" t="s">
        <v>10</v>
      </c>
    </row>
    <row r="13" spans="1:12" ht="15" x14ac:dyDescent="0.25">
      <c r="A13" s="10" t="s">
        <v>11</v>
      </c>
      <c r="B13" s="11">
        <f t="shared" ref="B13:I13" si="0">SUM(B14:B37)</f>
        <v>35951638.360383667</v>
      </c>
      <c r="C13" s="11">
        <f t="shared" si="0"/>
        <v>521321.66444268182</v>
      </c>
      <c r="D13" s="11">
        <f t="shared" si="0"/>
        <v>225495.30472648976</v>
      </c>
      <c r="E13" s="11">
        <f t="shared" si="0"/>
        <v>0</v>
      </c>
      <c r="F13" s="11">
        <f t="shared" si="0"/>
        <v>959232.67215834791</v>
      </c>
      <c r="G13" s="11">
        <f t="shared" si="0"/>
        <v>164165.30488708836</v>
      </c>
      <c r="H13" s="11">
        <f t="shared" si="0"/>
        <v>26937495.226188149</v>
      </c>
      <c r="I13" s="11">
        <f t="shared" si="0"/>
        <v>7143928.1879809191</v>
      </c>
    </row>
    <row r="14" spans="1:12" ht="15" x14ac:dyDescent="0.25">
      <c r="A14" s="12" t="s">
        <v>12</v>
      </c>
      <c r="B14" s="11">
        <f t="shared" ref="B14:B37" si="1">+C14+D14+E14+F14+G14+H14+I14</f>
        <v>17950807.458182961</v>
      </c>
      <c r="C14" s="13">
        <f>+'[1]Jun-26'!C8/1000</f>
        <v>0</v>
      </c>
      <c r="D14" s="13">
        <f>+'[1]Jun-26'!D8/1000</f>
        <v>3025.2592083440613</v>
      </c>
      <c r="E14" s="13">
        <f>+'[1]Jun-26'!E8/1000</f>
        <v>0</v>
      </c>
      <c r="F14" s="13">
        <f>+'[1]Jun-26'!F8/1000</f>
        <v>80849.331897121272</v>
      </c>
      <c r="G14" s="13">
        <f>+'[1]Jun-26'!G8/1000</f>
        <v>0</v>
      </c>
      <c r="H14" s="13">
        <f>+'[1]Jun-26'!H8/1000</f>
        <v>14409370.111640349</v>
      </c>
      <c r="I14" s="13">
        <f>+'[1]Jun-26'!I8/1000</f>
        <v>3457562.7554371473</v>
      </c>
    </row>
    <row r="15" spans="1:12" ht="15" x14ac:dyDescent="0.25">
      <c r="A15" s="12" t="s">
        <v>13</v>
      </c>
      <c r="B15" s="11">
        <f t="shared" si="1"/>
        <v>78616.883141488914</v>
      </c>
      <c r="C15" s="13">
        <f>+'[1]Jun-26'!C9/1000</f>
        <v>10856.546768037417</v>
      </c>
      <c r="D15" s="13">
        <f>+'[1]Jun-26'!D9/1000</f>
        <v>705.32285489067363</v>
      </c>
      <c r="E15" s="13">
        <f>+'[1]Jun-26'!E9/1000</f>
        <v>0</v>
      </c>
      <c r="F15" s="13">
        <f>+'[1]Jun-26'!F9/1000</f>
        <v>45000</v>
      </c>
      <c r="G15" s="13">
        <f>+'[1]Jun-26'!G9/1000</f>
        <v>0</v>
      </c>
      <c r="H15" s="13">
        <f>+'[1]Jun-26'!H9/1000</f>
        <v>1693.5962035608336</v>
      </c>
      <c r="I15" s="13">
        <f>+'[1]Jun-26'!I9/1000</f>
        <v>20361.417314999999</v>
      </c>
    </row>
    <row r="16" spans="1:12" ht="15" x14ac:dyDescent="0.25">
      <c r="A16" s="12" t="s">
        <v>14</v>
      </c>
      <c r="B16" s="11">
        <f t="shared" si="1"/>
        <v>4483369.4533240907</v>
      </c>
      <c r="C16" s="13">
        <f>+'[1]Jun-26'!C10/1000</f>
        <v>701.69597243628982</v>
      </c>
      <c r="D16" s="13">
        <f>+'[1]Jun-26'!D10/1000</f>
        <v>1361.9138394700001</v>
      </c>
      <c r="E16" s="13">
        <f>+'[1]Jun-26'!E10/1000</f>
        <v>0</v>
      </c>
      <c r="F16" s="13">
        <f>+'[1]Jun-26'!F10/1000</f>
        <v>117869.33542072221</v>
      </c>
      <c r="G16" s="13">
        <f>+'[1]Jun-26'!G10/1000</f>
        <v>0</v>
      </c>
      <c r="H16" s="13">
        <f>+'[1]Jun-26'!H10/1000</f>
        <v>3709991.1303499313</v>
      </c>
      <c r="I16" s="13">
        <f>+'[1]Jun-26'!I10/1000</f>
        <v>653445.37774153147</v>
      </c>
      <c r="J16" s="14"/>
    </row>
    <row r="17" spans="1:9" ht="15" x14ac:dyDescent="0.25">
      <c r="A17" s="12" t="s">
        <v>15</v>
      </c>
      <c r="B17" s="11">
        <f t="shared" si="1"/>
        <v>71601.535147234274</v>
      </c>
      <c r="C17" s="13">
        <f>+'[1]Jun-26'!C11/1000</f>
        <v>7906.4208814989342</v>
      </c>
      <c r="D17" s="13">
        <f>+'[1]Jun-26'!D11/1000</f>
        <v>992.83090222199985</v>
      </c>
      <c r="E17" s="13">
        <f>+'[1]Jun-26'!E11/1000</f>
        <v>0</v>
      </c>
      <c r="F17" s="13">
        <f>+'[1]Jun-26'!F11/1000</f>
        <v>0</v>
      </c>
      <c r="G17" s="13">
        <f>+'[1]Jun-26'!G11/1000</f>
        <v>20.2588936</v>
      </c>
      <c r="H17" s="13">
        <f>+'[1]Jun-26'!H11/1000</f>
        <v>2285.3814100833333</v>
      </c>
      <c r="I17" s="13">
        <f>+'[1]Jun-26'!I11/1000</f>
        <v>60396.643059829999</v>
      </c>
    </row>
    <row r="18" spans="1:9" ht="15" x14ac:dyDescent="0.25">
      <c r="A18" s="12" t="s">
        <v>16</v>
      </c>
      <c r="B18" s="11">
        <f t="shared" si="1"/>
        <v>610194.83629409899</v>
      </c>
      <c r="C18" s="13">
        <f>+'[1]Jun-26'!C12/1000</f>
        <v>76010.615386660007</v>
      </c>
      <c r="D18" s="13">
        <f>+'[1]Jun-26'!D12/1000</f>
        <v>15662.103588229998</v>
      </c>
      <c r="E18" s="13">
        <f>+'[1]Jun-26'!E12/1000</f>
        <v>0</v>
      </c>
      <c r="F18" s="13">
        <f>+'[1]Jun-26'!F12/1000</f>
        <v>47632.994643309183</v>
      </c>
      <c r="G18" s="13">
        <f>+'[1]Jun-26'!G12/1000</f>
        <v>0</v>
      </c>
      <c r="H18" s="13">
        <f>+'[1]Jun-26'!H12/1000</f>
        <v>295683.9854136869</v>
      </c>
      <c r="I18" s="13">
        <f>+'[1]Jun-26'!I12/1000</f>
        <v>175205.1372622129</v>
      </c>
    </row>
    <row r="19" spans="1:9" ht="15" x14ac:dyDescent="0.25">
      <c r="A19" s="12" t="s">
        <v>17</v>
      </c>
      <c r="B19" s="11">
        <f t="shared" si="1"/>
        <v>1500343.9423316121</v>
      </c>
      <c r="C19" s="13">
        <f>+'[1]Jun-26'!C13/1000</f>
        <v>25449.939796698331</v>
      </c>
      <c r="D19" s="13">
        <f>+'[1]Jun-26'!D13/1000</f>
        <v>441.93845224000006</v>
      </c>
      <c r="E19" s="13">
        <f>+'[1]Jun-26'!E13/1000</f>
        <v>0</v>
      </c>
      <c r="F19" s="13">
        <f>+'[1]Jun-26'!F13/1000</f>
        <v>0</v>
      </c>
      <c r="G19" s="13">
        <f>+'[1]Jun-26'!G13/1000</f>
        <v>0</v>
      </c>
      <c r="H19" s="13">
        <f>+'[1]Jun-26'!H13/1000</f>
        <v>1444364.3236182395</v>
      </c>
      <c r="I19" s="13">
        <f>+'[1]Jun-26'!I13/1000</f>
        <v>30087.740464434344</v>
      </c>
    </row>
    <row r="20" spans="1:9" ht="15" x14ac:dyDescent="0.25">
      <c r="A20" s="12" t="s">
        <v>18</v>
      </c>
      <c r="B20" s="11">
        <f t="shared" si="1"/>
        <v>1015016.1125305224</v>
      </c>
      <c r="C20" s="13">
        <f>+'[1]Jun-26'!C14/1000</f>
        <v>400</v>
      </c>
      <c r="D20" s="13">
        <f>+'[1]Jun-26'!D14/1000</f>
        <v>17353.283148899885</v>
      </c>
      <c r="E20" s="13">
        <f>+'[1]Jun-26'!E14/1000</f>
        <v>0</v>
      </c>
      <c r="F20" s="13">
        <f>+'[1]Jun-26'!F14/1000</f>
        <v>43039.706563742067</v>
      </c>
      <c r="G20" s="13">
        <f>+'[1]Jun-26'!G14/1000</f>
        <v>26.778494240000001</v>
      </c>
      <c r="H20" s="13">
        <f>+'[1]Jun-26'!H14/1000</f>
        <v>624615.86765484046</v>
      </c>
      <c r="I20" s="13">
        <f>+'[1]Jun-26'!I14/1000</f>
        <v>329580.47666879999</v>
      </c>
    </row>
    <row r="21" spans="1:9" ht="15" x14ac:dyDescent="0.25">
      <c r="A21" s="12" t="s">
        <v>19</v>
      </c>
      <c r="B21" s="11">
        <f t="shared" si="1"/>
        <v>30869.387538436873</v>
      </c>
      <c r="C21" s="13">
        <f>+'[1]Jun-26'!C15/1000</f>
        <v>4653.6991877668743</v>
      </c>
      <c r="D21" s="13">
        <f>+'[1]Jun-26'!D15/1000</f>
        <v>12912.194150279998</v>
      </c>
      <c r="E21" s="13">
        <f>+'[1]Jun-26'!E15/1000</f>
        <v>0</v>
      </c>
      <c r="F21" s="13">
        <f>+'[1]Jun-26'!F15/1000</f>
        <v>0</v>
      </c>
      <c r="G21" s="13">
        <f>+'[1]Jun-26'!G15/1000</f>
        <v>9.3894490000000008</v>
      </c>
      <c r="H21" s="13">
        <f>+'[1]Jun-26'!H15/1000</f>
        <v>40.57667016000012</v>
      </c>
      <c r="I21" s="13">
        <f>+'[1]Jun-26'!I15/1000</f>
        <v>13253.528081229999</v>
      </c>
    </row>
    <row r="22" spans="1:9" ht="15" x14ac:dyDescent="0.25">
      <c r="A22" s="12" t="s">
        <v>20</v>
      </c>
      <c r="B22" s="11">
        <f t="shared" si="1"/>
        <v>2943867.1097794124</v>
      </c>
      <c r="C22" s="13">
        <f>+'[1]Jun-26'!C16/1000</f>
        <v>0</v>
      </c>
      <c r="D22" s="13">
        <f>+'[1]Jun-26'!D16/1000</f>
        <v>0</v>
      </c>
      <c r="E22" s="13">
        <f>+'[1]Jun-26'!E16/1000</f>
        <v>0</v>
      </c>
      <c r="F22" s="13">
        <f>+'[1]Jun-26'!F16/1000</f>
        <v>105322.8</v>
      </c>
      <c r="G22" s="13">
        <f>+'[1]Jun-26'!G16/1000</f>
        <v>0</v>
      </c>
      <c r="H22" s="13">
        <f>+'[1]Jun-26'!H16/1000</f>
        <v>2129960.8697794126</v>
      </c>
      <c r="I22" s="13">
        <f>+'[1]Jun-26'!I16/1000</f>
        <v>708583.44</v>
      </c>
    </row>
    <row r="23" spans="1:9" ht="15" x14ac:dyDescent="0.25">
      <c r="A23" s="12" t="s">
        <v>21</v>
      </c>
      <c r="B23" s="11">
        <f t="shared" si="1"/>
        <v>700257.27723874245</v>
      </c>
      <c r="C23" s="13">
        <f>+'[1]Jun-26'!C17/1000</f>
        <v>351048.08312138123</v>
      </c>
      <c r="D23" s="13">
        <f>+'[1]Jun-26'!D17/1000</f>
        <v>0</v>
      </c>
      <c r="E23" s="13">
        <f>+'[1]Jun-26'!E17/1000</f>
        <v>0</v>
      </c>
      <c r="F23" s="13">
        <f>+'[1]Jun-26'!F17/1000</f>
        <v>124261.3465473612</v>
      </c>
      <c r="G23" s="13">
        <f>+'[1]Jun-26'!G17/1000</f>
        <v>3249.6774</v>
      </c>
      <c r="H23" s="13">
        <f>+'[1]Jun-26'!H17/1000</f>
        <v>73969.861709999997</v>
      </c>
      <c r="I23" s="13">
        <f>+'[1]Jun-26'!I17/1000</f>
        <v>147728.30845999997</v>
      </c>
    </row>
    <row r="24" spans="1:9" ht="15" x14ac:dyDescent="0.25">
      <c r="A24" s="12" t="s">
        <v>22</v>
      </c>
      <c r="B24" s="11">
        <f t="shared" si="1"/>
        <v>0</v>
      </c>
      <c r="C24" s="13"/>
      <c r="D24" s="13"/>
      <c r="E24" s="13"/>
      <c r="F24" s="13"/>
      <c r="G24" s="13"/>
      <c r="H24" s="13"/>
      <c r="I24" s="13"/>
    </row>
    <row r="25" spans="1:9" ht="15" x14ac:dyDescent="0.25">
      <c r="A25" s="12" t="s">
        <v>23</v>
      </c>
      <c r="B25" s="11">
        <f t="shared" si="1"/>
        <v>593669.54978547699</v>
      </c>
      <c r="C25" s="13">
        <f>+'[1]Jun-26'!C19/1000</f>
        <v>880.00469870833331</v>
      </c>
      <c r="D25" s="13">
        <f>+'[1]Jun-26'!D19/1000</f>
        <v>16906.330000000002</v>
      </c>
      <c r="E25" s="13">
        <f>+'[1]Jun-26'!E19/1000</f>
        <v>0</v>
      </c>
      <c r="F25" s="13">
        <f>+'[1]Jun-26'!F19/1000</f>
        <v>18.559999999999999</v>
      </c>
      <c r="G25" s="13">
        <f>+'[1]Jun-26'!G19/1000</f>
        <v>84.47</v>
      </c>
      <c r="H25" s="13">
        <f>+'[1]Jun-26'!H19/1000</f>
        <v>541639.42108676874</v>
      </c>
      <c r="I25" s="13">
        <f>+'[1]Jun-26'!I19/1000</f>
        <v>34140.764000000003</v>
      </c>
    </row>
    <row r="26" spans="1:9" ht="15" x14ac:dyDescent="0.25">
      <c r="A26" s="12" t="s">
        <v>24</v>
      </c>
      <c r="B26" s="11">
        <f t="shared" si="1"/>
        <v>1260310.9003117159</v>
      </c>
      <c r="C26" s="13">
        <f>+'[1]Jun-26'!C20/1000</f>
        <v>0</v>
      </c>
      <c r="D26" s="13">
        <f>+'[1]Jun-26'!D20/1000</f>
        <v>2325.48</v>
      </c>
      <c r="E26" s="13">
        <f>+'[1]Jun-26'!E20/1000</f>
        <v>0</v>
      </c>
      <c r="F26" s="13">
        <f>+'[1]Jun-26'!F20/1000</f>
        <v>53533.05</v>
      </c>
      <c r="G26" s="13">
        <f>+'[1]Jun-26'!G20/1000</f>
        <v>0</v>
      </c>
      <c r="H26" s="13">
        <f>+'[1]Jun-26'!H20/1000</f>
        <v>944049.09000004479</v>
      </c>
      <c r="I26" s="13">
        <f>+'[1]Jun-26'!I20/1000</f>
        <v>260403.280311671</v>
      </c>
    </row>
    <row r="27" spans="1:9" ht="15" x14ac:dyDescent="0.25">
      <c r="A27" s="12" t="s">
        <v>25</v>
      </c>
      <c r="B27" s="11">
        <f t="shared" si="1"/>
        <v>115622.34774457457</v>
      </c>
      <c r="C27" s="13">
        <f>+'[1]Jun-26'!C21/1000</f>
        <v>38.935850999999992</v>
      </c>
      <c r="D27" s="13">
        <f>+'[1]Jun-26'!D21/1000</f>
        <v>1530.3</v>
      </c>
      <c r="E27" s="13">
        <f>+'[1]Jun-26'!E21/1000</f>
        <v>0</v>
      </c>
      <c r="F27" s="13">
        <f>+'[1]Jun-26'!F21/1000</f>
        <v>18333.329999999994</v>
      </c>
      <c r="G27" s="13">
        <f>+'[1]Jun-26'!G21/1000</f>
        <v>31.010309774972082</v>
      </c>
      <c r="H27" s="13">
        <f>+'[1]Jun-26'!H21/1000</f>
        <v>77425.083583799613</v>
      </c>
      <c r="I27" s="13">
        <f>+'[1]Jun-26'!I21/1000</f>
        <v>18263.687999999998</v>
      </c>
    </row>
    <row r="28" spans="1:9" ht="15" x14ac:dyDescent="0.25">
      <c r="A28" s="12" t="s">
        <v>26</v>
      </c>
      <c r="B28" s="11">
        <f t="shared" si="1"/>
        <v>1030356.9678899853</v>
      </c>
      <c r="C28" s="13">
        <f>+'[1]Jun-26'!C22/1000</f>
        <v>587.52135751419121</v>
      </c>
      <c r="D28" s="13">
        <f>+'[1]Jun-26'!D22/1000</f>
        <v>87760.901950439496</v>
      </c>
      <c r="E28" s="13">
        <f>+'[1]Jun-26'!E22/1000</f>
        <v>0</v>
      </c>
      <c r="F28" s="13">
        <f>+'[1]Jun-26'!F22/1000</f>
        <v>65355.276419419039</v>
      </c>
      <c r="G28" s="13">
        <f>+'[1]Jun-26'!G22/1000</f>
        <v>16.798933684680001</v>
      </c>
      <c r="H28" s="13">
        <f>+'[1]Jun-26'!H22/1000</f>
        <v>576468.4594795279</v>
      </c>
      <c r="I28" s="13">
        <f>+'[1]Jun-26'!I22/1000</f>
        <v>300168.00974940002</v>
      </c>
    </row>
    <row r="29" spans="1:9" ht="15" x14ac:dyDescent="0.25">
      <c r="A29" s="12" t="s">
        <v>27</v>
      </c>
      <c r="B29" s="11">
        <f t="shared" si="1"/>
        <v>417879.5619678559</v>
      </c>
      <c r="C29" s="13">
        <f>+'[1]Jun-26'!C23/1000</f>
        <v>0</v>
      </c>
      <c r="D29" s="13">
        <f>+'[1]Jun-26'!D23/1000</f>
        <v>30532.114000000001</v>
      </c>
      <c r="E29" s="13">
        <f>+'[1]Jun-26'!E23/1000</f>
        <v>0</v>
      </c>
      <c r="F29" s="13">
        <f>+'[1]Jun-26'!F23/1000</f>
        <v>23226.774000000001</v>
      </c>
      <c r="G29" s="13">
        <f>+'[1]Jun-26'!G23/1000</f>
        <v>0</v>
      </c>
      <c r="H29" s="13">
        <f>+'[1]Jun-26'!H23/1000</f>
        <v>264382.49996785587</v>
      </c>
      <c r="I29" s="13">
        <f>+'[1]Jun-26'!I23/1000</f>
        <v>99738.173999999999</v>
      </c>
    </row>
    <row r="30" spans="1:9" ht="15" x14ac:dyDescent="0.25">
      <c r="A30" s="12" t="s">
        <v>28</v>
      </c>
      <c r="B30" s="11">
        <f t="shared" si="1"/>
        <v>438313.41026462306</v>
      </c>
      <c r="C30" s="13">
        <f>+'[1]Jun-26'!C24/1000</f>
        <v>0</v>
      </c>
      <c r="D30" s="13">
        <f>+'[1]Jun-26'!D24/1000</f>
        <v>4854.3288233724588</v>
      </c>
      <c r="E30" s="13">
        <f>+'[1]Jun-26'!E24/1000</f>
        <v>0</v>
      </c>
      <c r="F30" s="13">
        <f>+'[1]Jun-26'!F24/1000</f>
        <v>92349.66666667274</v>
      </c>
      <c r="G30" s="13">
        <f>+'[1]Jun-26'!G24/1000</f>
        <v>38851.244668278712</v>
      </c>
      <c r="H30" s="13">
        <f>+'[1]Jun-26'!H24/1000</f>
        <v>200843.08093297918</v>
      </c>
      <c r="I30" s="13">
        <f>+'[1]Jun-26'!I24/1000</f>
        <v>101415.08917332</v>
      </c>
    </row>
    <row r="31" spans="1:9" ht="15" x14ac:dyDescent="0.25">
      <c r="A31" s="12" t="s">
        <v>29</v>
      </c>
      <c r="B31" s="11">
        <f t="shared" si="1"/>
        <v>293237.60648196709</v>
      </c>
      <c r="C31" s="13">
        <f>+'[1]Jun-26'!C25/1000</f>
        <v>879.98555705952106</v>
      </c>
      <c r="D31" s="13">
        <f>+'[1]Jun-26'!D25/1000</f>
        <v>25927.564495531213</v>
      </c>
      <c r="E31" s="13">
        <f>+'[1]Jun-26'!E25/1000</f>
        <v>0</v>
      </c>
      <c r="F31" s="13">
        <f>+'[1]Jun-26'!F25/1000</f>
        <v>0</v>
      </c>
      <c r="G31" s="13">
        <f>+'[1]Jun-26'!G25/1000</f>
        <v>0</v>
      </c>
      <c r="H31" s="13">
        <f>+'[1]Jun-26'!H25/1000</f>
        <v>2087.5981730358335</v>
      </c>
      <c r="I31" s="13">
        <f>+'[1]Jun-26'!I25/1000</f>
        <v>264342.45825634053</v>
      </c>
    </row>
    <row r="32" spans="1:9" ht="15" x14ac:dyDescent="0.25">
      <c r="A32" s="12" t="s">
        <v>30</v>
      </c>
      <c r="B32" s="11">
        <f t="shared" si="1"/>
        <v>211.09468343999998</v>
      </c>
      <c r="C32" s="13">
        <f>+'[1]Jun-26'!C26/1000</f>
        <v>211.09468343999998</v>
      </c>
      <c r="D32" s="13">
        <f>+'[1]Jun-26'!D26/1000</f>
        <v>0</v>
      </c>
      <c r="E32" s="13">
        <f>+'[1]Jun-26'!E26/1000</f>
        <v>0</v>
      </c>
      <c r="F32" s="13">
        <f>+'[1]Jun-26'!F26/1000</f>
        <v>0</v>
      </c>
      <c r="G32" s="13">
        <f>+'[1]Jun-26'!G26/1000</f>
        <v>0</v>
      </c>
      <c r="H32" s="13">
        <f>+'[1]Jun-26'!H26/1000</f>
        <v>0</v>
      </c>
      <c r="I32" s="13">
        <f>+'[1]Jun-26'!I26/1000</f>
        <v>0</v>
      </c>
    </row>
    <row r="33" spans="1:96" ht="15" x14ac:dyDescent="0.25">
      <c r="A33" s="12" t="s">
        <v>31</v>
      </c>
      <c r="B33" s="11">
        <f t="shared" si="1"/>
        <v>42863.44238429387</v>
      </c>
      <c r="C33" s="13">
        <f>+'[1]Jun-26'!C27/1000</f>
        <v>41056.433175057202</v>
      </c>
      <c r="D33" s="13">
        <f>+'[1]Jun-26'!D27/1000</f>
        <v>263.18931257000003</v>
      </c>
      <c r="E33" s="13">
        <f>+'[1]Jun-26'!E27/1000</f>
        <v>0</v>
      </c>
      <c r="F33" s="13">
        <f>+'[1]Jun-26'!F27/1000</f>
        <v>0</v>
      </c>
      <c r="G33" s="13">
        <f>+'[1]Jun-26'!G27/1000</f>
        <v>0</v>
      </c>
      <c r="H33" s="13">
        <f>+'[1]Jun-26'!H27/1000</f>
        <v>1543.8198966666664</v>
      </c>
      <c r="I33" s="13">
        <f>+'[1]Jun-26'!I27/1000</f>
        <v>0</v>
      </c>
    </row>
    <row r="34" spans="1:96" ht="15" x14ac:dyDescent="0.25">
      <c r="A34" s="12" t="s">
        <v>32</v>
      </c>
      <c r="B34" s="11">
        <f t="shared" si="1"/>
        <v>1959565.1</v>
      </c>
      <c r="C34" s="13">
        <f>+'[1]Jun-26'!C28/1000</f>
        <v>0</v>
      </c>
      <c r="D34" s="13">
        <f>+'[1]Jun-26'!D28/1000</f>
        <v>450.8</v>
      </c>
      <c r="E34" s="13">
        <f>+'[1]Jun-26'!E28/1000</f>
        <v>0</v>
      </c>
      <c r="F34" s="13">
        <f>+'[1]Jun-26'!F28/1000</f>
        <v>7250</v>
      </c>
      <c r="G34" s="13">
        <f>+'[1]Jun-26'!G28/1000</f>
        <v>0</v>
      </c>
      <c r="H34" s="13">
        <f>+'[1]Jun-26'!H28/1000</f>
        <v>1482612.4</v>
      </c>
      <c r="I34" s="13">
        <f>+'[1]Jun-26'!I28/1000</f>
        <v>469251.9</v>
      </c>
    </row>
    <row r="35" spans="1:96" ht="15" x14ac:dyDescent="0.25">
      <c r="A35" s="12" t="s">
        <v>33</v>
      </c>
      <c r="B35" s="11">
        <f t="shared" si="1"/>
        <v>19223.017621783805</v>
      </c>
      <c r="C35" s="13">
        <f>+'[1]Jun-26'!C29/1000</f>
        <v>0</v>
      </c>
      <c r="D35" s="13">
        <f>+'[1]Jun-26'!D29/1000</f>
        <v>0</v>
      </c>
      <c r="E35" s="13">
        <f>+'[1]Jun-26'!E29/1000</f>
        <v>0</v>
      </c>
      <c r="F35" s="13">
        <f>+'[1]Jun-26'!F29/1000</f>
        <v>0</v>
      </c>
      <c r="G35" s="13">
        <f>+'[1]Jun-26'!G29/1000</f>
        <v>0</v>
      </c>
      <c r="H35" s="13">
        <f>+'[1]Jun-26'!H29/1000</f>
        <v>19223.017621783805</v>
      </c>
      <c r="I35" s="13">
        <f>+'[1]Jun-26'!I29/1000</f>
        <v>0</v>
      </c>
    </row>
    <row r="36" spans="1:96" ht="15" x14ac:dyDescent="0.25">
      <c r="A36" s="12" t="s">
        <v>34</v>
      </c>
      <c r="B36" s="11">
        <f t="shared" si="1"/>
        <v>240941.44324427092</v>
      </c>
      <c r="C36" s="13">
        <f>+'[1]Jun-26'!C30/1000</f>
        <v>640.68800542343456</v>
      </c>
      <c r="D36" s="13">
        <f>+'[1]Jun-26'!D30/1000</f>
        <v>2489.4499999999998</v>
      </c>
      <c r="E36" s="13">
        <f>+'[1]Jun-26'!E30/1000</f>
        <v>0</v>
      </c>
      <c r="F36" s="13">
        <f>+'[1]Jun-26'!F30/1000</f>
        <v>0</v>
      </c>
      <c r="G36" s="13">
        <f>+'[1]Jun-26'!G30/1000</f>
        <v>121862.92</v>
      </c>
      <c r="H36" s="13">
        <f>+'[1]Jun-26'!H30/1000</f>
        <v>115948.38523884749</v>
      </c>
      <c r="I36" s="13">
        <f>+'[1]Jun-26'!I30/1000</f>
        <v>0</v>
      </c>
    </row>
    <row r="37" spans="1:96" ht="15" x14ac:dyDescent="0.25">
      <c r="A37" s="12" t="s">
        <v>35</v>
      </c>
      <c r="B37" s="11">
        <f t="shared" si="1"/>
        <v>154499.92249508097</v>
      </c>
      <c r="C37" s="13">
        <f>+'[1]Jun-26'!C31/1000</f>
        <v>0</v>
      </c>
      <c r="D37" s="13">
        <f>+'[1]Jun-26'!D31/1000</f>
        <v>0</v>
      </c>
      <c r="E37" s="13">
        <f>+'[1]Jun-26'!E31/1000</f>
        <v>0</v>
      </c>
      <c r="F37" s="13">
        <f>+'[1]Jun-26'!F31/1000</f>
        <v>135190.5</v>
      </c>
      <c r="G37" s="13">
        <f>+'[1]Jun-26'!G31/1000</f>
        <v>12.756738509999998</v>
      </c>
      <c r="H37" s="13">
        <f>+'[1]Jun-26'!H31/1000</f>
        <v>19296.665756570972</v>
      </c>
      <c r="I37" s="13">
        <f>+'[1]Jun-26'!I31/1000</f>
        <v>0</v>
      </c>
    </row>
    <row r="38" spans="1:96" x14ac:dyDescent="0.2">
      <c r="A38" s="15"/>
      <c r="B38" s="16"/>
      <c r="C38" s="17"/>
      <c r="D38" s="17"/>
      <c r="E38" s="17"/>
      <c r="F38" s="17"/>
      <c r="G38" s="17"/>
      <c r="H38" s="17"/>
      <c r="I38" s="17"/>
    </row>
    <row r="39" spans="1:96" ht="15" x14ac:dyDescent="0.25">
      <c r="A39" s="18" t="s">
        <v>36</v>
      </c>
      <c r="B39" s="16"/>
      <c r="C39" s="17"/>
      <c r="D39" s="17"/>
      <c r="E39" s="17"/>
      <c r="F39" s="17"/>
      <c r="G39" s="17"/>
      <c r="H39" s="17"/>
      <c r="I39" s="17"/>
    </row>
    <row r="40" spans="1:96" ht="15" x14ac:dyDescent="0.25">
      <c r="A40" s="19" t="s">
        <v>37</v>
      </c>
      <c r="B40" s="20"/>
      <c r="C40" s="20"/>
      <c r="F40" s="14"/>
      <c r="H40" s="14"/>
    </row>
    <row r="41" spans="1:96" ht="15" x14ac:dyDescent="0.25">
      <c r="A41" s="19" t="s">
        <v>38</v>
      </c>
      <c r="B41" s="21"/>
    </row>
    <row r="43" spans="1:96" s="23" customFormat="1" ht="13.5" thickBo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</row>
    <row r="44" spans="1:96" s="23" customFormat="1" x14ac:dyDescent="0.2">
      <c r="A44" s="24" t="s">
        <v>39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</row>
  </sheetData>
  <mergeCells count="3">
    <mergeCell ref="A9:I9"/>
    <mergeCell ref="K9:L10"/>
    <mergeCell ref="A10:I10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Jun-26 millones</vt:lpstr>
      <vt:lpstr>'Jun-26 millones'!Área_de_impresión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Albera Scagliusi</dc:creator>
  <cp:lastModifiedBy>Luciano Albera Scagliusi</cp:lastModifiedBy>
  <dcterms:created xsi:type="dcterms:W3CDTF">2026-10-14T19:32:41Z</dcterms:created>
  <dcterms:modified xsi:type="dcterms:W3CDTF">2026-10-14T20:01:52Z</dcterms:modified>
</cp:coreProperties>
</file>